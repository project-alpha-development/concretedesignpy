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workbookAlgorithmName="SHA-512" workbookHashValue="XPzHeQT21pl2XNk9vOKhzlIOrQHhkWcT9vk04gwm49ZW4CvP+gW0924qd29Ae3Vxz5YczwA2wIFWc7bynRhkCQ==" workbookSaltValue="il+Y0OEyTvSjwVw8+OWLpg==" workbookSpinCount="100000"/>
  <bookViews>
    <workbookView visibility="visible" minimized="0" showHorizontalScroll="1" showVerticalScroll="1" showSheetTabs="1" tabRatio="600" firstSheet="0" activeTab="0" autoFilterDateGrouping="1"/>
  </bookViews>
  <sheets>
    <sheet name="Footing Jacket" sheetId="1" state="visible" r:id="rId1"/>
    <sheet name="Theory" sheetId="2" state="visible" r:id="rId2"/>
  </sheets>
  <definedNames>
    <definedName name="_xlnm.Print_Titles" localSheetId="0">'Footing Jacket'!$10:$10</definedName>
    <definedName name="_xlnm.Print_Area" localSheetId="0">'Footing Jacket'!$B$1:$G$350</definedName>
    <definedName name="_xlnm.Print_Titles" localSheetId="1">'Theory'!$10:$10</definedName>
    <definedName name="_xlnm.Print_Area" localSheetId="1">'Theory'!$B$1:$G$132</definedName>
  </definedNames>
  <calcPr calcId="124519" fullCalcOnLoad="1"/>
</workbook>
</file>

<file path=xl/styles.xml><?xml version="1.0" encoding="utf-8"?>
<styleSheet xmlns="http://schemas.openxmlformats.org/spreadsheetml/2006/main">
  <numFmts count="8">
    <numFmt numFmtId="164" formatCode="dd-mmm-yyyy"/>
    <numFmt numFmtId="165" formatCode="0.0"/>
    <numFmt numFmtId="166" formatCode="0.000"/>
    <numFmt numFmtId="167" formatCode="#,##0.0"/>
    <numFmt numFmtId="168" formatCode="0.00000"/>
    <numFmt numFmtId="169" formatCode="0.0000"/>
    <numFmt numFmtId="170" formatCode="0.000E+00"/>
    <numFmt numFmtId="171" formatCode="0.000000"/>
  </numFmts>
  <fonts count="13">
    <font>
      <name val="Calibri"/>
      <family val="2"/>
      <color theme="1"/>
      <sz val="11"/>
      <scheme val="minor"/>
    </font>
    <font>
      <name val="Arial"/>
      <b val="1"/>
      <color rgb="001F5C2E"/>
      <sz val="14"/>
    </font>
    <font>
      <name val="Arial"/>
      <b val="1"/>
      <sz val="10"/>
    </font>
    <font>
      <name val="Arial"/>
      <color rgb="000000FF"/>
      <sz val="10"/>
    </font>
    <font>
      <name val="Arial"/>
      <b val="1"/>
      <color rgb="00FFFFFF"/>
      <sz val="11"/>
    </font>
    <font>
      <name val="Arial"/>
      <i val="1"/>
      <color rgb="00595959"/>
      <sz val="9"/>
    </font>
    <font>
      <name val="Arial"/>
      <b val="1"/>
      <color rgb="00FFFFFF"/>
      <sz val="10"/>
    </font>
    <font>
      <name val="Arial"/>
      <b val="1"/>
      <color rgb="001F5C2E"/>
      <sz val="10"/>
    </font>
    <font>
      <name val="Arial"/>
      <sz val="10"/>
    </font>
    <font>
      <name val="Arial"/>
      <color rgb="00595959"/>
      <sz val="9"/>
    </font>
    <font>
      <name val="Arial"/>
      <b val="1"/>
      <sz val="11"/>
    </font>
    <font>
      <name val="Arial"/>
      <color rgb="009C5700"/>
      <sz val="9"/>
    </font>
    <font>
      <name val="Arial"/>
      <sz val="9"/>
    </font>
  </fonts>
  <fills count="5">
    <fill>
      <patternFill/>
    </fill>
    <fill>
      <patternFill patternType="gray125"/>
    </fill>
    <fill>
      <patternFill patternType="solid">
        <fgColor rgb="00FFF2CC"/>
      </patternFill>
    </fill>
    <fill>
      <patternFill patternType="solid">
        <fgColor rgb="001F5C2E"/>
      </patternFill>
    </fill>
    <fill>
      <patternFill patternType="solid">
        <fgColor rgb="00E4EFE6"/>
      </patternFill>
    </fill>
  </fills>
  <borders count="4">
    <border>
      <left/>
      <right/>
      <top/>
      <bottom/>
      <diagonal/>
    </border>
    <border>
      <left style="thin">
        <color rgb="007F7F7F"/>
      </left>
      <right style="thin">
        <color rgb="007F7F7F"/>
      </right>
      <top style="thin">
        <color rgb="007F7F7F"/>
      </top>
      <bottom style="thin">
        <color rgb="007F7F7F"/>
      </bottom>
    </border>
    <border>
      <bottom style="thin">
        <color rgb="00D0D0D0"/>
      </bottom>
    </border>
    <border>
      <left/>
      <right/>
      <top/>
      <bottom style="thin">
        <color rgb="00D0D0D0"/>
      </bottom>
      <diagonal/>
    </border>
  </borders>
  <cellStyleXfs count="1">
    <xf numFmtId="0" fontId="0" fillId="0" borderId="0"/>
  </cellStyleXfs>
  <cellXfs count="46">
    <xf numFmtId="0" fontId="0" fillId="0" borderId="0" pivotButton="0" quotePrefix="0" xfId="0"/>
    <xf numFmtId="0" fontId="0" fillId="0" borderId="1" pivotButton="0" quotePrefix="0" xfId="0"/>
    <xf numFmtId="0" fontId="1" fillId="0" borderId="1" applyAlignment="1" pivotButton="0" quotePrefix="0" xfId="0">
      <alignment horizontal="center" vertical="center"/>
    </xf>
    <xf numFmtId="0" fontId="2" fillId="0" borderId="1" applyAlignment="1" pivotButton="0" quotePrefix="0" xfId="0">
      <alignment horizontal="right" vertical="center"/>
    </xf>
    <xf numFmtId="0" fontId="3" fillId="2" borderId="1" applyAlignment="1" applyProtection="1" pivotButton="0" quotePrefix="0" xfId="0">
      <alignment horizontal="left" vertical="center"/>
      <protection locked="0" hidden="0"/>
    </xf>
    <xf numFmtId="0" fontId="0" fillId="2" borderId="1" applyProtection="1" pivotButton="0" quotePrefix="0" xfId="0">
      <protection locked="0" hidden="0"/>
    </xf>
    <xf numFmtId="164" fontId="3" fillId="2" borderId="1" applyAlignment="1" applyProtection="1" pivotButton="0" quotePrefix="0" xfId="0">
      <alignment horizontal="center" vertical="center"/>
      <protection locked="0" hidden="0"/>
    </xf>
    <xf numFmtId="0" fontId="4" fillId="3" borderId="0" applyAlignment="1" pivotButton="0" quotePrefix="0" xfId="0">
      <alignment horizontal="center" vertical="center"/>
    </xf>
    <xf numFmtId="0" fontId="5" fillId="0" borderId="0" applyAlignment="1" pivotButton="0" quotePrefix="0" xfId="0">
      <alignment horizontal="center"/>
    </xf>
    <xf numFmtId="0" fontId="2" fillId="4" borderId="1" applyAlignment="1" pivotButton="0" quotePrefix="0" xfId="0">
      <alignment horizontal="center" vertical="center"/>
    </xf>
    <xf numFmtId="0" fontId="6" fillId="3" borderId="0" applyAlignment="1" pivotButton="0" quotePrefix="0" xfId="0">
      <alignment vertical="center" indent="1"/>
    </xf>
    <xf numFmtId="0" fontId="7" fillId="4" borderId="0" pivotButton="0" quotePrefix="0" xfId="0"/>
    <xf numFmtId="0" fontId="8" fillId="0" borderId="2" pivotButton="0" quotePrefix="0" xfId="0"/>
    <xf numFmtId="0" fontId="8" fillId="0" borderId="2" applyAlignment="1" pivotButton="0" quotePrefix="0" xfId="0">
      <alignment horizontal="center"/>
    </xf>
    <xf numFmtId="165" fontId="3" fillId="2" borderId="1" applyAlignment="1" applyProtection="1" pivotButton="0" quotePrefix="0" xfId="0">
      <alignment horizontal="right" vertical="center"/>
      <protection locked="0" hidden="0"/>
    </xf>
    <xf numFmtId="0" fontId="9" fillId="0" borderId="2" pivotButton="0" quotePrefix="0" xfId="0"/>
    <xf numFmtId="0" fontId="2" fillId="0" borderId="2" applyAlignment="1" pivotButton="0" quotePrefix="0" xfId="0">
      <alignment horizontal="center"/>
    </xf>
    <xf numFmtId="1" fontId="3" fillId="2" borderId="1" applyAlignment="1" applyProtection="1" pivotButton="0" quotePrefix="0" xfId="0">
      <alignment horizontal="right" vertical="center"/>
      <protection locked="0" hidden="0"/>
    </xf>
    <xf numFmtId="1" fontId="3" fillId="2" borderId="1" applyAlignment="1" applyProtection="1" pivotButton="0" quotePrefix="0" xfId="0">
      <alignment horizontal="center" vertical="center"/>
      <protection locked="0" hidden="0"/>
    </xf>
    <xf numFmtId="0" fontId="3" fillId="2" borderId="1" applyAlignment="1" applyProtection="1" pivotButton="0" quotePrefix="0" xfId="0">
      <alignment horizontal="center" vertical="center"/>
      <protection locked="0" hidden="0"/>
    </xf>
    <xf numFmtId="2" fontId="3" fillId="2" borderId="1" applyAlignment="1" applyProtection="1" pivotButton="0" quotePrefix="0" xfId="0">
      <alignment horizontal="right" vertical="center"/>
      <protection locked="0" hidden="0"/>
    </xf>
    <xf numFmtId="0" fontId="2" fillId="0" borderId="2" applyAlignment="1" pivotButton="0" quotePrefix="0" xfId="0">
      <alignment horizontal="right"/>
    </xf>
    <xf numFmtId="0" fontId="5" fillId="0" borderId="0" applyAlignment="1" pivotButton="0" quotePrefix="0" xfId="0">
      <alignment vertical="top" wrapText="1"/>
    </xf>
    <xf numFmtId="166" fontId="2" fillId="0" borderId="2" applyAlignment="1" pivotButton="0" quotePrefix="0" xfId="0">
      <alignment horizontal="right"/>
    </xf>
    <xf numFmtId="165" fontId="2" fillId="0" borderId="2" applyAlignment="1" pivotButton="0" quotePrefix="0" xfId="0">
      <alignment horizontal="right"/>
    </xf>
    <xf numFmtId="0" fontId="10" fillId="0" borderId="1" applyAlignment="1" pivotButton="0" quotePrefix="0" xfId="0">
      <alignment horizontal="right" vertical="center"/>
    </xf>
    <xf numFmtId="0" fontId="10" fillId="0" borderId="1" applyAlignment="1" pivotButton="0" quotePrefix="0" xfId="0">
      <alignment horizontal="center" vertical="center"/>
    </xf>
    <xf numFmtId="0" fontId="11" fillId="0" borderId="0" applyAlignment="1" pivotButton="0" quotePrefix="0" xfId="0">
      <alignment vertical="top" wrapText="1"/>
    </xf>
    <xf numFmtId="165" fontId="8" fillId="0" borderId="2" applyAlignment="1" pivotButton="0" quotePrefix="0" xfId="0">
      <alignment horizontal="right"/>
    </xf>
    <xf numFmtId="166" fontId="8" fillId="0" borderId="2" applyAlignment="1" pivotButton="0" quotePrefix="0" xfId="0">
      <alignment horizontal="right"/>
    </xf>
    <xf numFmtId="2" fontId="8" fillId="0" borderId="2" applyAlignment="1" pivotButton="0" quotePrefix="0" xfId="0">
      <alignment horizontal="right"/>
    </xf>
    <xf numFmtId="167" fontId="8" fillId="0" borderId="2" applyAlignment="1" pivotButton="0" quotePrefix="0" xfId="0">
      <alignment horizontal="right"/>
    </xf>
    <xf numFmtId="0" fontId="0" fillId="0" borderId="3" pivotButton="0" quotePrefix="0" xfId="0"/>
    <xf numFmtId="0" fontId="2" fillId="0" borderId="2" pivotButton="0" quotePrefix="0" xfId="0"/>
    <xf numFmtId="2" fontId="2" fillId="0" borderId="2" applyAlignment="1" pivotButton="0" quotePrefix="0" xfId="0">
      <alignment horizontal="right"/>
    </xf>
    <xf numFmtId="167" fontId="2" fillId="0" borderId="2" applyAlignment="1" pivotButton="0" quotePrefix="0" xfId="0">
      <alignment horizontal="right"/>
    </xf>
    <xf numFmtId="168" fontId="8" fillId="0" borderId="2" applyAlignment="1" pivotButton="0" quotePrefix="0" xfId="0">
      <alignment horizontal="right"/>
    </xf>
    <xf numFmtId="169" fontId="8" fillId="0" borderId="2" applyAlignment="1" pivotButton="0" quotePrefix="0" xfId="0">
      <alignment horizontal="right"/>
    </xf>
    <xf numFmtId="170" fontId="8" fillId="0" borderId="2" applyAlignment="1" pivotButton="0" quotePrefix="0" xfId="0">
      <alignment horizontal="right"/>
    </xf>
    <xf numFmtId="169" fontId="2" fillId="0" borderId="2" applyAlignment="1" pivotButton="0" quotePrefix="0" xfId="0">
      <alignment horizontal="right"/>
    </xf>
    <xf numFmtId="1" fontId="8" fillId="0" borderId="2" applyAlignment="1" pivotButton="0" quotePrefix="0" xfId="0">
      <alignment horizontal="right"/>
    </xf>
    <xf numFmtId="3" fontId="8" fillId="0" borderId="2" applyAlignment="1" pivotButton="0" quotePrefix="0" xfId="0">
      <alignment horizontal="right"/>
    </xf>
    <xf numFmtId="171" fontId="8" fillId="0" borderId="2" applyAlignment="1" pivotButton="0" quotePrefix="0" xfId="0">
      <alignment horizontal="right"/>
    </xf>
    <xf numFmtId="0" fontId="12" fillId="0" borderId="0" applyAlignment="1" pivotButton="0" quotePrefix="0" xfId="0">
      <alignment vertical="top" wrapText="1" indent="1"/>
    </xf>
    <xf numFmtId="0" fontId="8" fillId="0" borderId="1" applyAlignment="1" pivotButton="0" quotePrefix="0" xfId="0">
      <alignment horizontal="left" vertical="center"/>
    </xf>
    <xf numFmtId="164" fontId="8" fillId="0" borderId="1" applyAlignment="1" pivotButton="0" quotePrefix="0" xfId="0">
      <alignment horizontal="center" vertical="center"/>
    </xf>
  </cellXfs>
  <cellStyles count="1">
    <cellStyle name="Normal" xfId="0" builtinId="0" hidden="0"/>
  </cellStyles>
  <dxfs count="3">
    <dxf>
      <font>
        <name val="Arial"/>
        <b val="1"/>
        <color rgb="00006100"/>
        <sz val="10"/>
      </font>
      <fill>
        <patternFill patternType="solid">
          <bgColor rgb="00C6EFCE"/>
        </patternFill>
      </fill>
    </dxf>
    <dxf>
      <font>
        <name val="Arial"/>
        <b val="1"/>
        <color rgb="009C0006"/>
        <sz val="10"/>
      </font>
      <fill>
        <patternFill patternType="solid">
          <bgColor rgb="00FFC7CE"/>
        </patternFill>
      </fill>
    </dxf>
    <dxf>
      <font>
        <name val="Arial"/>
        <b val="1"/>
        <color rgb="009C5700"/>
        <sz val="1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jpeg" Id="rId1" /><Relationship Type="http://schemas.openxmlformats.org/officeDocument/2006/relationships/image" Target="/xl/media/image4.png" Id="rId2" /><Relationship Type="http://schemas.openxmlformats.org/officeDocument/2006/relationships/image" Target="/xl/media/image5.png" Id="rId3" /><Relationship Type="http://schemas.openxmlformats.org/officeDocument/2006/relationships/image" Target="/xl/media/image6.png" Id="rId4" /><Relationship Type="http://schemas.openxmlformats.org/officeDocument/2006/relationships/image" Target="/xl/media/image7.png" Id="rId5" /><Relationship Type="http://schemas.openxmlformats.org/officeDocument/2006/relationships/image" Target="/xl/media/image8.png" Id="rId6" /><Relationship Type="http://schemas.openxmlformats.org/officeDocument/2006/relationships/image" Target="/xl/media/image9.png" Id="rId7" /><Relationship Type="http://schemas.openxmlformats.org/officeDocument/2006/relationships/image" Target="/xl/media/image10.png" Id="rId8" /><Relationship Type="http://schemas.openxmlformats.org/officeDocument/2006/relationships/image" Target="/xl/media/image11.png" Id="rId9"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342900</colOff>
      <row>0</row>
      <rowOff>228600</rowOff>
    </from>
    <ext cx="3476625" cy="685800"/>
    <pic>
      <nvPicPr>
        <cNvPr id="1" name="Image 1" descr="Picture"/>
        <cNvPicPr>
          <a:picLocks noChangeAspect="1"/>
        </cNvPicPr>
      </nvPicPr>
      <blipFill>
        <a:blip cstate="print" r:embed="rId1"/>
        <a:stretch>
          <a:fillRect/>
        </a:stretch>
      </blipFill>
      <spPr>
        <a:xfrm>
          <a:off x="476250" y="228600"/>
          <a:ext cx="3476625" cy="685800"/>
        </a:xfrm>
        <a:prstGeom prst="rect">
          <a:avLst/>
        </a:prstGeom>
      </spPr>
    </pic>
    <clientData/>
  </oneCellAnchor>
  <oneCellAnchor>
    <from>
      <col>1</col>
      <colOff>1809750</colOff>
      <row>12</row>
      <rowOff>57150</rowOff>
    </from>
    <ext cx="7239000" cy="3286125"/>
    <pic>
      <nvPicPr>
        <cNvPr id="2" name="Image 2" descr="Picture"/>
        <cNvPicPr>
          <a:picLocks noChangeAspect="1"/>
        </cNvPicPr>
      </nvPicPr>
      <blipFill>
        <a:blip cstate="print" r:embed="rId2"/>
        <a:stretch>
          <a:fillRect/>
        </a:stretch>
      </blipFill>
      <spPr>
        <a:xfrm>
          <a:off x="1943100" y="2635250"/>
          <a:ext cx="7239000" cy="3286125"/>
        </a:xfrm>
        <a:prstGeom prst="rect">
          <a:avLst/>
        </a:prstGeom>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342900</colOff>
      <row>0</row>
      <rowOff>228600</rowOff>
    </from>
    <ext cx="3476625" cy="685800"/>
    <pic>
      <nvPicPr>
        <cNvPr id="1" name="Image 1" descr="Picture"/>
        <cNvPicPr>
          <a:picLocks noChangeAspect="1"/>
        </cNvPicPr>
      </nvPicPr>
      <blipFill>
        <a:blip cstate="print" r:embed="rId1"/>
        <a:stretch>
          <a:fillRect/>
        </a:stretch>
      </blipFill>
      <spPr>
        <a:xfrm>
          <a:off x="476250" y="228600"/>
          <a:ext cx="3476625" cy="685800"/>
        </a:xfrm>
        <a:prstGeom prst="rect">
          <a:avLst/>
        </a:prstGeom>
      </spPr>
    </pic>
    <clientData/>
  </oneCellAnchor>
  <oneCellAnchor>
    <from>
      <col>1</col>
      <colOff>1809750</colOff>
      <row>13</row>
      <rowOff>57150</rowOff>
    </from>
    <ext cx="7239000" cy="2266950"/>
    <pic>
      <nvPicPr>
        <cNvPr id="2" name="Image 2" descr="Picture"/>
        <cNvPicPr>
          <a:picLocks noChangeAspect="1"/>
        </cNvPicPr>
      </nvPicPr>
      <blipFill>
        <a:blip cstate="print" r:embed="rId2"/>
        <a:stretch>
          <a:fillRect/>
        </a:stretch>
      </blipFill>
      <spPr>
        <a:xfrm>
          <a:off x="1943100" y="2965450"/>
          <a:ext cx="7239000" cy="2266950"/>
        </a:xfrm>
        <a:prstGeom prst="rect">
          <a:avLst/>
        </a:prstGeom>
      </spPr>
    </pic>
    <clientData/>
  </oneCellAnchor>
  <oneCellAnchor>
    <from>
      <col>1</col>
      <colOff>1809750</colOff>
      <row>30</row>
      <rowOff>57150</rowOff>
    </from>
    <ext cx="7239000" cy="2095500"/>
    <pic>
      <nvPicPr>
        <cNvPr id="3" name="Image 3" descr="Picture"/>
        <cNvPicPr>
          <a:picLocks noChangeAspect="1"/>
        </cNvPicPr>
      </nvPicPr>
      <blipFill>
        <a:blip cstate="print" r:embed="rId3"/>
        <a:stretch>
          <a:fillRect/>
        </a:stretch>
      </blipFill>
      <spPr>
        <a:xfrm>
          <a:off x="1943100" y="6216650"/>
          <a:ext cx="7239000" cy="2095500"/>
        </a:xfrm>
        <a:prstGeom prst="rect">
          <a:avLst/>
        </a:prstGeom>
      </spPr>
    </pic>
    <clientData/>
  </oneCellAnchor>
  <oneCellAnchor>
    <from>
      <col>1</col>
      <colOff>1809750</colOff>
      <row>46</row>
      <rowOff>57150</rowOff>
    </from>
    <ext cx="7239000" cy="1885950"/>
    <pic>
      <nvPicPr>
        <cNvPr id="4" name="Image 4" descr="Picture"/>
        <cNvPicPr>
          <a:picLocks noChangeAspect="1"/>
        </cNvPicPr>
      </nvPicPr>
      <blipFill>
        <a:blip cstate="print" r:embed="rId4"/>
        <a:stretch>
          <a:fillRect/>
        </a:stretch>
      </blipFill>
      <spPr>
        <a:xfrm>
          <a:off x="1943100" y="9277350"/>
          <a:ext cx="7239000" cy="1885950"/>
        </a:xfrm>
        <a:prstGeom prst="rect">
          <a:avLst/>
        </a:prstGeom>
      </spPr>
    </pic>
    <clientData/>
  </oneCellAnchor>
  <oneCellAnchor>
    <from>
      <col>1</col>
      <colOff>1809750</colOff>
      <row>61</row>
      <rowOff>57150</rowOff>
    </from>
    <ext cx="7239000" cy="1057275"/>
    <pic>
      <nvPicPr>
        <cNvPr id="5" name="Image 5" descr="Picture"/>
        <cNvPicPr>
          <a:picLocks noChangeAspect="1"/>
        </cNvPicPr>
      </nvPicPr>
      <blipFill>
        <a:blip cstate="print" r:embed="rId5"/>
        <a:stretch>
          <a:fillRect/>
        </a:stretch>
      </blipFill>
      <spPr>
        <a:xfrm>
          <a:off x="1943100" y="12312650"/>
          <a:ext cx="7239000" cy="1057275"/>
        </a:xfrm>
        <a:prstGeom prst="rect">
          <a:avLst/>
        </a:prstGeom>
      </spPr>
    </pic>
    <clientData/>
  </oneCellAnchor>
  <oneCellAnchor>
    <from>
      <col>1</col>
      <colOff>1809750</colOff>
      <row>72</row>
      <rowOff>57150</rowOff>
    </from>
    <ext cx="7239000" cy="2047875"/>
    <pic>
      <nvPicPr>
        <cNvPr id="6" name="Image 6" descr="Picture"/>
        <cNvPicPr>
          <a:picLocks noChangeAspect="1"/>
        </cNvPicPr>
      </nvPicPr>
      <blipFill>
        <a:blip cstate="print" r:embed="rId6"/>
        <a:stretch>
          <a:fillRect/>
        </a:stretch>
      </blipFill>
      <spPr>
        <a:xfrm>
          <a:off x="1943100" y="14420850"/>
          <a:ext cx="7239000" cy="2047875"/>
        </a:xfrm>
        <a:prstGeom prst="rect">
          <a:avLst/>
        </a:prstGeom>
      </spPr>
    </pic>
    <clientData/>
  </oneCellAnchor>
  <oneCellAnchor>
    <from>
      <col>1</col>
      <colOff>1809750</colOff>
      <row>88</row>
      <rowOff>57150</rowOff>
    </from>
    <ext cx="7239000" cy="1552575"/>
    <pic>
      <nvPicPr>
        <cNvPr id="7" name="Image 7" descr="Picture"/>
        <cNvPicPr>
          <a:picLocks noChangeAspect="1"/>
        </cNvPicPr>
      </nvPicPr>
      <blipFill>
        <a:blip cstate="print" r:embed="rId7"/>
        <a:stretch>
          <a:fillRect/>
        </a:stretch>
      </blipFill>
      <spPr>
        <a:xfrm>
          <a:off x="1943100" y="17646650"/>
          <a:ext cx="7239000" cy="1552575"/>
        </a:xfrm>
        <a:prstGeom prst="rect">
          <a:avLst/>
        </a:prstGeom>
      </spPr>
    </pic>
    <clientData/>
  </oneCellAnchor>
  <oneCellAnchor>
    <from>
      <col>1</col>
      <colOff>1809750</colOff>
      <row>101</row>
      <rowOff>57150</rowOff>
    </from>
    <ext cx="7239000" cy="2047875"/>
    <pic>
      <nvPicPr>
        <cNvPr id="8" name="Image 8" descr="Picture"/>
        <cNvPicPr>
          <a:picLocks noChangeAspect="1"/>
        </cNvPicPr>
      </nvPicPr>
      <blipFill>
        <a:blip cstate="print" r:embed="rId8"/>
        <a:stretch>
          <a:fillRect/>
        </a:stretch>
      </blipFill>
      <spPr>
        <a:xfrm>
          <a:off x="1943100" y="20135850"/>
          <a:ext cx="7239000" cy="2047875"/>
        </a:xfrm>
        <a:prstGeom prst="rect">
          <a:avLst/>
        </a:prstGeom>
      </spPr>
    </pic>
    <clientData/>
  </oneCellAnchor>
  <oneCellAnchor>
    <from>
      <col>1</col>
      <colOff>1809750</colOff>
      <row>117</row>
      <rowOff>57150</rowOff>
    </from>
    <ext cx="7239000" cy="1885950"/>
    <pic>
      <nvPicPr>
        <cNvPr id="9" name="Image 9" descr="Picture"/>
        <cNvPicPr>
          <a:picLocks noChangeAspect="1"/>
        </cNvPicPr>
      </nvPicPr>
      <blipFill>
        <a:blip cstate="print" r:embed="rId9"/>
        <a:stretch>
          <a:fillRect/>
        </a:stretch>
      </blipFill>
      <spPr>
        <a:xfrm>
          <a:off x="1943100" y="23361650"/>
          <a:ext cx="7239000" cy="1885950"/>
        </a:xfrm>
        <a:prstGeom prst="rect">
          <a:avLst/>
        </a:prstGeom>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G350"/>
  <sheetViews>
    <sheetView showGridLines="0" workbookViewId="0">
      <selection activeCell="A1" sqref="A1"/>
    </sheetView>
  </sheetViews>
  <sheetFormatPr baseColWidth="8" defaultRowHeight="15"/>
  <cols>
    <col width="2" customWidth="1" min="1" max="1"/>
    <col width="46" customWidth="1" min="2" max="2"/>
    <col width="15" customWidth="1" min="3" max="3"/>
    <col width="16" customWidth="1" min="4" max="4"/>
    <col width="9" customWidth="1" min="5" max="5"/>
    <col width="62" customWidth="1" min="6" max="6"/>
    <col width="15" customWidth="1" min="7" max="7"/>
  </cols>
  <sheetData>
    <row r="1" ht="18" customHeight="1">
      <c r="B1" s="1" t="n"/>
      <c r="C1" s="1" t="n"/>
      <c r="D1" s="2" t="inlineStr">
        <is>
          <t>D E S I G N    S H E E T</t>
        </is>
      </c>
      <c r="E1" s="1" t="n"/>
      <c r="F1" s="1" t="n"/>
      <c r="G1" s="1" t="n"/>
    </row>
    <row r="2" ht="18" customHeight="1">
      <c r="B2" s="1" t="n"/>
      <c r="C2" s="1" t="n"/>
      <c r="D2" s="3" t="inlineStr">
        <is>
          <t>Project :</t>
        </is>
      </c>
      <c r="E2" s="4" t="inlineStr">
        <is>
          <t>Project name</t>
        </is>
      </c>
      <c r="F2" s="5" t="n"/>
      <c r="G2" s="5" t="n"/>
    </row>
    <row r="3" ht="18" customHeight="1">
      <c r="B3" s="1" t="n"/>
      <c r="C3" s="1" t="n"/>
      <c r="D3" s="3" t="inlineStr">
        <is>
          <t>Member :</t>
        </is>
      </c>
      <c r="E3" s="4" t="inlineStr">
        <is>
          <t>F-1 - Grid A-1</t>
        </is>
      </c>
      <c r="F3" s="5" t="n"/>
      <c r="G3" s="5" t="n"/>
    </row>
    <row r="4" ht="18" customHeight="1">
      <c r="B4" s="1" t="n"/>
      <c r="C4" s="1" t="n"/>
      <c r="D4" s="3" t="inlineStr">
        <is>
          <t>Designed / Date :</t>
        </is>
      </c>
      <c r="E4" s="4" t="inlineStr">
        <is>
          <t>Albert Pamonag</t>
        </is>
      </c>
      <c r="F4" s="5" t="n"/>
      <c r="G4" s="6">
        <f>TODAY()</f>
        <v>46299</v>
      </c>
    </row>
    <row r="5" ht="18" customHeight="1">
      <c r="B5" s="1" t="n"/>
      <c r="C5" s="1" t="n"/>
      <c r="D5" s="3" t="inlineStr">
        <is>
          <t>Checked / Date :</t>
        </is>
      </c>
      <c r="E5" s="4" t="n"/>
      <c r="F5" s="5" t="n"/>
      <c r="G5" s="6" t="n"/>
    </row>
    <row r="6" ht="20" customHeight="1">
      <c r="B6" s="7" t="inlineStr">
        <is>
          <t>JACKETING (ENLARGEMENT) OF AN EXISTING ISOLATED FOOTING</t>
        </is>
      </c>
    </row>
    <row r="7">
      <c r="B7" s="8" t="inlineStr">
        <is>
          <t>ACI 562-25 - Assessment, Repair and Rehabilitation of Existing Concrete Structures; ACI 318-25M; ASCE 41-17</t>
        </is>
      </c>
    </row>
    <row r="8">
      <c r="B8" s="8" t="inlineStr">
        <is>
          <t>Yellow cells are inputs. Every other cell is locked. Owner: Albert Pamonag - Albert Pamonag Engineering Consultancy.</t>
        </is>
      </c>
    </row>
    <row r="9"/>
    <row r="10">
      <c r="B10" s="9" t="inlineStr">
        <is>
          <t>Description</t>
        </is>
      </c>
      <c r="C10" s="9" t="inlineStr">
        <is>
          <t>Symbol</t>
        </is>
      </c>
      <c r="D10" s="9" t="inlineStr">
        <is>
          <t>Value</t>
        </is>
      </c>
      <c r="E10" s="9" t="inlineStr">
        <is>
          <t>Unit</t>
        </is>
      </c>
      <c r="F10" s="9" t="inlineStr">
        <is>
          <t>Equation / reference</t>
        </is>
      </c>
      <c r="G10" s="9" t="inlineStr">
        <is>
          <t>Status</t>
        </is>
      </c>
    </row>
    <row r="11"/>
    <row r="12" ht="18" customHeight="1">
      <c r="B12" s="10" t="inlineStr">
        <is>
          <t>1.0  INPUT DATA</t>
        </is>
      </c>
    </row>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c r="B32" s="11" t="inlineStr">
        <is>
          <t>Existing footing</t>
        </is>
      </c>
    </row>
    <row r="33">
      <c r="B33" s="12" t="inlineStr">
        <is>
          <t>Existing footing width</t>
        </is>
      </c>
      <c r="C33" s="13" t="inlineStr">
        <is>
          <t>B0</t>
        </is>
      </c>
      <c r="D33" s="14" t="n">
        <v>2000</v>
      </c>
      <c r="E33" s="12" t="inlineStr">
        <is>
          <t>mm</t>
        </is>
      </c>
      <c r="F33" s="15" t="inlineStr"/>
      <c r="G33" s="16" t="n"/>
    </row>
    <row r="34">
      <c r="B34" s="12" t="inlineStr">
        <is>
          <t>Existing footing length</t>
        </is>
      </c>
      <c r="C34" s="13" t="inlineStr">
        <is>
          <t>L0</t>
        </is>
      </c>
      <c r="D34" s="14" t="n">
        <v>3000</v>
      </c>
      <c r="E34" s="12" t="inlineStr">
        <is>
          <t>mm</t>
        </is>
      </c>
      <c r="F34" s="15" t="inlineStr"/>
      <c r="G34" s="16" t="n"/>
    </row>
    <row r="35">
      <c r="B35" s="12" t="inlineStr">
        <is>
          <t>Existing footing thickness</t>
        </is>
      </c>
      <c r="C35" s="13" t="inlineStr">
        <is>
          <t>h0</t>
        </is>
      </c>
      <c r="D35" s="14" t="n">
        <v>600</v>
      </c>
      <c r="E35" s="12" t="inlineStr">
        <is>
          <t>mm</t>
        </is>
      </c>
      <c r="F35" s="15" t="inlineStr"/>
      <c r="G35" s="16" t="n"/>
    </row>
    <row r="36">
      <c r="B36" s="12" t="inlineStr">
        <is>
          <t>Existing concrete strength</t>
        </is>
      </c>
      <c r="C36" s="13" t="inlineStr">
        <is>
          <t>f'c0</t>
        </is>
      </c>
      <c r="D36" s="14" t="n">
        <v>21</v>
      </c>
      <c r="E36" s="12" t="inlineStr">
        <is>
          <t>MPa</t>
        </is>
      </c>
      <c r="F36" s="15" t="inlineStr"/>
      <c r="G36" s="16" t="n"/>
    </row>
    <row r="37">
      <c r="B37" s="12" t="inlineStr">
        <is>
          <t>Existing reinforcement yield</t>
        </is>
      </c>
      <c r="C37" s="13" t="inlineStr">
        <is>
          <t>fy0</t>
        </is>
      </c>
      <c r="D37" s="17" t="n">
        <v>275</v>
      </c>
      <c r="E37" s="12" t="inlineStr">
        <is>
          <t>MPa</t>
        </is>
      </c>
      <c r="F37" s="15" t="inlineStr"/>
      <c r="G37" s="16" t="n"/>
    </row>
    <row r="38">
      <c r="B38" s="12" t="inlineStr">
        <is>
          <t>Existing bottom bars parallel to L</t>
        </is>
      </c>
      <c r="C38" s="13" t="inlineStr">
        <is>
          <t>n</t>
        </is>
      </c>
      <c r="D38" s="17" t="n">
        <v>8</v>
      </c>
      <c r="E38" s="12" t="inlineStr"/>
      <c r="F38" s="15" t="inlineStr">
        <is>
          <t>outer (lower) layer, across the width B0</t>
        </is>
      </c>
      <c r="G38" s="16" t="n"/>
    </row>
    <row r="39">
      <c r="B39" s="12" t="inlineStr">
        <is>
          <t>Their diameter</t>
        </is>
      </c>
      <c r="C39" s="13" t="inlineStr">
        <is>
          <t>db</t>
        </is>
      </c>
      <c r="D39" s="14" t="n">
        <v>20</v>
      </c>
      <c r="E39" s="12" t="inlineStr">
        <is>
          <t>mm</t>
        </is>
      </c>
      <c r="F39" s="15" t="inlineStr"/>
      <c r="G39" s="16" t="n"/>
    </row>
    <row r="40">
      <c r="B40" s="12" t="inlineStr">
        <is>
          <t>Existing bottom bars parallel to B</t>
        </is>
      </c>
      <c r="C40" s="13" t="inlineStr">
        <is>
          <t>n</t>
        </is>
      </c>
      <c r="D40" s="17" t="n">
        <v>15</v>
      </c>
      <c r="E40" s="12" t="inlineStr"/>
      <c r="F40" s="15" t="inlineStr">
        <is>
          <t>inner layer, across the length L0</t>
        </is>
      </c>
      <c r="G40" s="16" t="n"/>
    </row>
    <row r="41">
      <c r="B41" s="12" t="inlineStr">
        <is>
          <t>Their diameter</t>
        </is>
      </c>
      <c r="C41" s="13" t="inlineStr">
        <is>
          <t>db</t>
        </is>
      </c>
      <c r="D41" s="14" t="n">
        <v>20</v>
      </c>
      <c r="E41" s="12" t="inlineStr">
        <is>
          <t>mm</t>
        </is>
      </c>
      <c r="F41" s="15" t="inlineStr"/>
      <c r="G41" s="16" t="n"/>
    </row>
    <row r="42">
      <c r="B42" s="12" t="inlineStr">
        <is>
          <t>Clear cover to the existing outer layer</t>
        </is>
      </c>
      <c r="C42" s="13" t="inlineStr">
        <is>
          <t>cc0</t>
        </is>
      </c>
      <c r="D42" s="14" t="n">
        <v>75</v>
      </c>
      <c r="E42" s="12" t="inlineStr">
        <is>
          <t>mm</t>
        </is>
      </c>
      <c r="F42" s="15" t="inlineStr"/>
      <c r="G42" s="16" t="n"/>
    </row>
    <row r="43">
      <c r="B43" s="11" t="inlineStr">
        <is>
          <t>Column</t>
        </is>
      </c>
    </row>
    <row r="44">
      <c r="B44" s="12" t="inlineStr">
        <is>
          <t>Column dimension parallel to B</t>
        </is>
      </c>
      <c r="C44" s="13" t="inlineStr">
        <is>
          <t>cB</t>
        </is>
      </c>
      <c r="D44" s="14" t="n">
        <v>400</v>
      </c>
      <c r="E44" s="12" t="inlineStr">
        <is>
          <t>mm</t>
        </is>
      </c>
      <c r="F44" s="15" t="inlineStr">
        <is>
          <t>at the top of the footing (jacketed size if the column is jacketed)</t>
        </is>
      </c>
      <c r="G44" s="16" t="n"/>
    </row>
    <row r="45">
      <c r="B45" s="12" t="inlineStr">
        <is>
          <t>Column dimension parallel to L</t>
        </is>
      </c>
      <c r="C45" s="13" t="inlineStr">
        <is>
          <t>cL</t>
        </is>
      </c>
      <c r="D45" s="14" t="n">
        <v>400</v>
      </c>
      <c r="E45" s="12" t="inlineStr">
        <is>
          <t>mm</t>
        </is>
      </c>
      <c r="F45" s="15" t="inlineStr"/>
      <c r="G45" s="16" t="n"/>
    </row>
    <row r="46">
      <c r="B46" s="12" t="inlineStr">
        <is>
          <t>Column location factor</t>
        </is>
      </c>
      <c r="C46" s="13" t="inlineStr">
        <is>
          <t>alpha_s</t>
        </is>
      </c>
      <c r="D46" s="18" t="n">
        <v>40</v>
      </c>
      <c r="E46" s="12" t="inlineStr"/>
      <c r="F46" s="15" t="inlineStr">
        <is>
          <t>ACI 318-25M 22.6.5.3: 40 interior, 30 edge, 20 corner</t>
        </is>
      </c>
      <c r="G46" s="16" t="n"/>
    </row>
    <row r="47">
      <c r="B47" s="12" t="inlineStr">
        <is>
          <t>Overlay tied to the column?</t>
        </is>
      </c>
      <c r="C47" s="13" t="inlineStr"/>
      <c r="D47" s="19" t="inlineStr">
        <is>
          <t>Yes</t>
        </is>
      </c>
      <c r="E47" s="12" t="inlineStr"/>
      <c r="F47" s="15" t="inlineStr">
        <is>
          <t>No: shear uses the existing depth only (see 5.0, 6.0)</t>
        </is>
      </c>
      <c r="G47" s="16" t="n"/>
    </row>
    <row r="48">
      <c r="B48" s="11" t="inlineStr">
        <is>
          <t>Jacket</t>
        </is>
      </c>
    </row>
    <row r="49">
      <c r="B49" s="12" t="inlineStr">
        <is>
          <t>Wing added on EACH side, B direction</t>
        </is>
      </c>
      <c r="C49" s="13" t="inlineStr">
        <is>
          <t>eB</t>
        </is>
      </c>
      <c r="D49" s="14" t="n">
        <v>600</v>
      </c>
      <c r="E49" s="12" t="inlineStr">
        <is>
          <t>mm</t>
        </is>
      </c>
      <c r="F49" s="15" t="inlineStr">
        <is>
          <t>0 = no enlargement in this direction</t>
        </is>
      </c>
      <c r="G49" s="16" t="n"/>
    </row>
    <row r="50">
      <c r="B50" s="12" t="inlineStr">
        <is>
          <t>Wing added on EACH side, L direction</t>
        </is>
      </c>
      <c r="C50" s="13" t="inlineStr">
        <is>
          <t>eL</t>
        </is>
      </c>
      <c r="D50" s="14" t="n">
        <v>600</v>
      </c>
      <c r="E50" s="12" t="inlineStr">
        <is>
          <t>mm</t>
        </is>
      </c>
      <c r="F50" s="15" t="inlineStr"/>
      <c r="G50" s="16" t="n"/>
    </row>
    <row r="51">
      <c r="B51" s="12" t="inlineStr">
        <is>
          <t>Bonded overlay thickness on top</t>
        </is>
      </c>
      <c r="C51" s="13" t="inlineStr">
        <is>
          <t>t,top</t>
        </is>
      </c>
      <c r="D51" s="14" t="n">
        <v>200</v>
      </c>
      <c r="E51" s="12" t="inlineStr">
        <is>
          <t>mm</t>
        </is>
      </c>
      <c r="F51" s="15" t="inlineStr">
        <is>
          <t>0 = none; the wings are cast to the full depth h0 + t,top</t>
        </is>
      </c>
      <c r="G51" s="16" t="n"/>
    </row>
    <row r="52">
      <c r="B52" s="12" t="inlineStr">
        <is>
          <t>Jacket concrete strength</t>
        </is>
      </c>
      <c r="C52" s="13" t="inlineStr">
        <is>
          <t>f'cj</t>
        </is>
      </c>
      <c r="D52" s="14" t="n">
        <v>28</v>
      </c>
      <c r="E52" s="12" t="inlineStr">
        <is>
          <t>MPa</t>
        </is>
      </c>
      <c r="F52" s="15" t="inlineStr"/>
      <c r="G52" s="16" t="n"/>
    </row>
    <row r="53">
      <c r="B53" s="12" t="inlineStr">
        <is>
          <t>Jacket reinforcement yield</t>
        </is>
      </c>
      <c r="C53" s="13" t="inlineStr">
        <is>
          <t>fyj</t>
        </is>
      </c>
      <c r="D53" s="17" t="n">
        <v>415</v>
      </c>
      <c r="E53" s="12" t="inlineStr">
        <is>
          <t>MPa</t>
        </is>
      </c>
      <c r="F53" s="15" t="inlineStr"/>
      <c r="G53" s="16" t="n"/>
    </row>
    <row r="54">
      <c r="B54" s="12" t="inlineStr">
        <is>
          <t>New bottom bars parallel to L</t>
        </is>
      </c>
      <c r="C54" s="13" t="inlineStr">
        <is>
          <t>n</t>
        </is>
      </c>
      <c r="D54" s="17" t="n">
        <v>8</v>
      </c>
      <c r="E54" s="12" t="inlineStr"/>
      <c r="F54" s="15" t="inlineStr">
        <is>
          <t>total in the two side wings, continuous over L</t>
        </is>
      </c>
      <c r="G54" s="16" t="n"/>
    </row>
    <row r="55">
      <c r="B55" s="12" t="inlineStr">
        <is>
          <t>Their diameter</t>
        </is>
      </c>
      <c r="C55" s="13" t="inlineStr">
        <is>
          <t>db</t>
        </is>
      </c>
      <c r="D55" s="14" t="n">
        <v>20</v>
      </c>
      <c r="E55" s="12" t="inlineStr">
        <is>
          <t>mm</t>
        </is>
      </c>
      <c r="F55" s="15" t="inlineStr"/>
      <c r="G55" s="16" t="n"/>
    </row>
    <row r="56">
      <c r="B56" s="12" t="inlineStr">
        <is>
          <t>New bottom bars parallel to B</t>
        </is>
      </c>
      <c r="C56" s="13" t="inlineStr">
        <is>
          <t>n</t>
        </is>
      </c>
      <c r="D56" s="17" t="n">
        <v>10</v>
      </c>
      <c r="E56" s="12" t="inlineStr"/>
      <c r="F56" s="15" t="inlineStr">
        <is>
          <t>total in the two end wings, continuous over B</t>
        </is>
      </c>
      <c r="G56" s="16" t="n"/>
    </row>
    <row r="57">
      <c r="B57" s="12" t="inlineStr">
        <is>
          <t>Their diameter</t>
        </is>
      </c>
      <c r="C57" s="13" t="inlineStr">
        <is>
          <t>db</t>
        </is>
      </c>
      <c r="D57" s="14" t="n">
        <v>20</v>
      </c>
      <c r="E57" s="12" t="inlineStr">
        <is>
          <t>mm</t>
        </is>
      </c>
      <c r="F57" s="15" t="inlineStr"/>
      <c r="G57" s="16" t="n"/>
    </row>
    <row r="58">
      <c r="B58" s="12" t="inlineStr">
        <is>
          <t>Clear cover to the new outer layer</t>
        </is>
      </c>
      <c r="C58" s="13" t="inlineStr">
        <is>
          <t>ccj</t>
        </is>
      </c>
      <c r="D58" s="14" t="n">
        <v>75</v>
      </c>
      <c r="E58" s="12" t="inlineStr">
        <is>
          <t>mm</t>
        </is>
      </c>
      <c r="F58" s="15" t="inlineStr"/>
      <c r="G58" s="16" t="n"/>
    </row>
    <row r="59">
      <c r="B59" s="12" t="inlineStr">
        <is>
          <t>Lightweight concrete factor</t>
        </is>
      </c>
      <c r="C59" s="13" t="inlineStr">
        <is>
          <t>lambda</t>
        </is>
      </c>
      <c r="D59" s="20" t="n">
        <v>1</v>
      </c>
      <c r="E59" s="12" t="inlineStr"/>
      <c r="F59" s="15" t="inlineStr"/>
      <c r="G59" s="16" t="n"/>
    </row>
    <row r="60">
      <c r="B60" s="11" t="inlineStr">
        <is>
          <t>Interfaces</t>
        </is>
      </c>
    </row>
    <row r="61">
      <c r="B61" s="12" t="inlineStr">
        <is>
          <t>Surface of the old concrete</t>
        </is>
      </c>
      <c r="C61" s="13" t="inlineStr"/>
      <c r="D61" s="19" t="inlineStr">
        <is>
          <t>roughened</t>
        </is>
      </c>
      <c r="E61" s="12" t="inlineStr"/>
      <c r="F61" s="15" t="inlineStr">
        <is>
          <t>roughened = ~6 mm amplitude, ACI 318-25M 26.5.6.2(e); ACI 562-25 9.4.4.3</t>
        </is>
      </c>
      <c r="G61" s="16" t="n"/>
    </row>
    <row r="62">
      <c r="B62" s="12" t="inlineStr">
        <is>
          <t>Dowels crossing EACH end face</t>
        </is>
      </c>
      <c r="C62" s="13" t="inlineStr">
        <is>
          <t>n</t>
        </is>
      </c>
      <c r="D62" s="17" t="n">
        <v>14</v>
      </c>
      <c r="E62" s="12" t="inlineStr"/>
      <c r="F62" s="15" t="inlineStr">
        <is>
          <t>end faces: the old faces of width B0</t>
        </is>
      </c>
      <c r="G62" s="16" t="n"/>
    </row>
    <row r="63">
      <c r="B63" s="12" t="inlineStr">
        <is>
          <t>Of these, in the bottom (tension) row</t>
        </is>
      </c>
      <c r="C63" s="13" t="inlineStr">
        <is>
          <t>n</t>
        </is>
      </c>
      <c r="D63" s="17" t="n">
        <v>7</v>
      </c>
      <c r="E63" s="12" t="inlineStr"/>
      <c r="F63" s="15" t="inlineStr"/>
      <c r="G63" s="16" t="n"/>
    </row>
    <row r="64">
      <c r="B64" s="12" t="inlineStr">
        <is>
          <t>Dowels crossing EACH side face</t>
        </is>
      </c>
      <c r="C64" s="13" t="inlineStr">
        <is>
          <t>n</t>
        </is>
      </c>
      <c r="D64" s="17" t="n">
        <v>20</v>
      </c>
      <c r="E64" s="12" t="inlineStr"/>
      <c r="F64" s="15" t="inlineStr">
        <is>
          <t>side faces: the old faces of length L0</t>
        </is>
      </c>
      <c r="G64" s="16" t="n"/>
    </row>
    <row r="65">
      <c r="B65" s="12" t="inlineStr">
        <is>
          <t>Of these, in the bottom (tension) row</t>
        </is>
      </c>
      <c r="C65" s="13" t="inlineStr">
        <is>
          <t>n</t>
        </is>
      </c>
      <c r="D65" s="17" t="n">
        <v>10</v>
      </c>
      <c r="E65" s="12" t="inlineStr"/>
      <c r="F65" s="15" t="inlineStr"/>
      <c r="G65" s="16" t="n"/>
    </row>
    <row r="66">
      <c r="B66" s="12" t="inlineStr">
        <is>
          <t>Dowel diameter</t>
        </is>
      </c>
      <c r="C66" s="13" t="inlineStr">
        <is>
          <t>db</t>
        </is>
      </c>
      <c r="D66" s="14" t="n">
        <v>20</v>
      </c>
      <c r="E66" s="12" t="inlineStr">
        <is>
          <t>mm</t>
        </is>
      </c>
      <c r="F66" s="15" t="inlineStr"/>
      <c r="G66" s="16" t="n"/>
    </row>
    <row r="67">
      <c r="B67" s="12" t="inlineStr">
        <is>
          <t>Dowel yield</t>
        </is>
      </c>
      <c r="C67" s="13" t="inlineStr">
        <is>
          <t>fy</t>
        </is>
      </c>
      <c r="D67" s="17" t="n">
        <v>415</v>
      </c>
      <c r="E67" s="12" t="inlineStr">
        <is>
          <t>MPa</t>
        </is>
      </c>
      <c r="F67" s="15" t="inlineStr"/>
      <c r="G67" s="16" t="n"/>
    </row>
    <row r="68">
      <c r="B68" s="12" t="inlineStr">
        <is>
          <t>Bottom dowel row above the soffit</t>
        </is>
      </c>
      <c r="C68" s="13" t="inlineStr">
        <is>
          <t>z</t>
        </is>
      </c>
      <c r="D68" s="14" t="n">
        <v>100</v>
      </c>
      <c r="E68" s="12" t="inlineStr">
        <is>
          <t>mm</t>
        </is>
      </c>
      <c r="F68" s="15" t="inlineStr"/>
      <c r="G68" s="16" t="n"/>
    </row>
    <row r="69">
      <c r="B69" s="12" t="inlineStr">
        <is>
          <t>Overlay tie diameter</t>
        </is>
      </c>
      <c r="C69" s="13" t="inlineStr">
        <is>
          <t>db</t>
        </is>
      </c>
      <c r="D69" s="14" t="n">
        <v>12</v>
      </c>
      <c r="E69" s="12" t="inlineStr">
        <is>
          <t>mm</t>
        </is>
      </c>
      <c r="F69" s="15" t="inlineStr">
        <is>
          <t>0 = no ties</t>
        </is>
      </c>
      <c r="G69" s="16" t="n"/>
    </row>
    <row r="70">
      <c r="B70" s="12" t="inlineStr">
        <is>
          <t>Overlay tie spacing, each way</t>
        </is>
      </c>
      <c r="C70" s="13" t="inlineStr">
        <is>
          <t>s</t>
        </is>
      </c>
      <c r="D70" s="14" t="n">
        <v>300</v>
      </c>
      <c r="E70" s="12" t="inlineStr">
        <is>
          <t>mm</t>
        </is>
      </c>
      <c r="F70" s="15" t="inlineStr">
        <is>
          <t>square grid</t>
        </is>
      </c>
      <c r="G70" s="16" t="n"/>
    </row>
    <row r="71">
      <c r="B71" s="12" t="inlineStr">
        <is>
          <t>Overlay tie yield</t>
        </is>
      </c>
      <c r="C71" s="13" t="inlineStr">
        <is>
          <t>fyt</t>
        </is>
      </c>
      <c r="D71" s="17" t="n">
        <v>415</v>
      </c>
      <c r="E71" s="12" t="inlineStr">
        <is>
          <t>MPa</t>
        </is>
      </c>
      <c r="F71" s="15" t="inlineStr"/>
      <c r="G71" s="16" t="n"/>
    </row>
    <row r="72">
      <c r="B72" s="11" t="inlineStr">
        <is>
          <t>Construction sequence and loads (at the top of the footing)</t>
        </is>
      </c>
    </row>
    <row r="73">
      <c r="B73" s="12" t="inlineStr">
        <is>
          <t>Load relieved before the jacket is cast?</t>
        </is>
      </c>
      <c r="C73" s="13" t="inlineStr"/>
      <c r="D73" s="19" t="inlineStr">
        <is>
          <t>No</t>
        </is>
      </c>
      <c r="E73" s="12" t="inlineStr"/>
      <c r="F73" s="15" t="inlineStr">
        <is>
          <t>ACI 562-25 R9.4.1; ASCE 41-17 C8.7 - governs the design</t>
        </is>
      </c>
      <c r="G73" s="16" t="n"/>
    </row>
    <row r="74">
      <c r="B74" s="12" t="inlineStr">
        <is>
          <t>Service load on the footing at casting</t>
        </is>
      </c>
      <c r="C74" s="13" t="inlineStr">
        <is>
          <t>P0</t>
        </is>
      </c>
      <c r="D74" s="14" t="n">
        <v>700</v>
      </c>
      <c r="E74" s="12" t="inlineStr">
        <is>
          <t>kN</t>
        </is>
      </c>
      <c r="F74" s="15" t="inlineStr"/>
      <c r="G74" s="16" t="n"/>
    </row>
    <row r="75">
      <c r="B75" s="12" t="inlineStr">
        <is>
          <t>Service moment at casting, along L</t>
        </is>
      </c>
      <c r="C75" s="13" t="inlineStr">
        <is>
          <t>M0L</t>
        </is>
      </c>
      <c r="D75" s="14" t="n">
        <v>0</v>
      </c>
      <c r="E75" s="12" t="inlineStr">
        <is>
          <t>kN-m</t>
        </is>
      </c>
      <c r="F75" s="15" t="inlineStr"/>
      <c r="G75" s="16" t="n"/>
    </row>
    <row r="76">
      <c r="B76" s="12" t="inlineStr">
        <is>
          <t>Service moment at casting, along B</t>
        </is>
      </c>
      <c r="C76" s="13" t="inlineStr">
        <is>
          <t>M0B</t>
        </is>
      </c>
      <c r="D76" s="14" t="n">
        <v>0</v>
      </c>
      <c r="E76" s="12" t="inlineStr">
        <is>
          <t>kN-m</t>
        </is>
      </c>
      <c r="F76" s="15" t="inlineStr"/>
      <c r="G76" s="16" t="n"/>
    </row>
    <row r="77">
      <c r="B77" s="12" t="inlineStr">
        <is>
          <t>Final service load</t>
        </is>
      </c>
      <c r="C77" s="13" t="inlineStr">
        <is>
          <t>P</t>
        </is>
      </c>
      <c r="D77" s="14" t="n">
        <v>1500</v>
      </c>
      <c r="E77" s="12" t="inlineStr">
        <is>
          <t>kN</t>
        </is>
      </c>
      <c r="F77" s="15" t="inlineStr"/>
      <c r="G77" s="16" t="n"/>
    </row>
    <row r="78">
      <c r="B78" s="12" t="inlineStr">
        <is>
          <t>Final service moment, along L</t>
        </is>
      </c>
      <c r="C78" s="13" t="inlineStr">
        <is>
          <t>ML</t>
        </is>
      </c>
      <c r="D78" s="14" t="n">
        <v>180</v>
      </c>
      <c r="E78" s="12" t="inlineStr">
        <is>
          <t>kN-m</t>
        </is>
      </c>
      <c r="F78" s="15" t="inlineStr">
        <is>
          <t>varies the pressure along L</t>
        </is>
      </c>
      <c r="G78" s="16" t="n"/>
    </row>
    <row r="79">
      <c r="B79" s="12" t="inlineStr">
        <is>
          <t>Final service moment, along B</t>
        </is>
      </c>
      <c r="C79" s="13" t="inlineStr">
        <is>
          <t>MB</t>
        </is>
      </c>
      <c r="D79" s="14" t="n">
        <v>60</v>
      </c>
      <c r="E79" s="12" t="inlineStr">
        <is>
          <t>kN-m</t>
        </is>
      </c>
      <c r="F79" s="15" t="inlineStr"/>
      <c r="G79" s="16" t="n"/>
    </row>
    <row r="80">
      <c r="B80" s="12" t="inlineStr">
        <is>
          <t>Permissible net bearing pressure</t>
        </is>
      </c>
      <c r="C80" s="13" t="inlineStr">
        <is>
          <t>qa</t>
        </is>
      </c>
      <c r="D80" s="14" t="n">
        <v>200</v>
      </c>
      <c r="E80" s="12" t="inlineStr">
        <is>
          <t>kPa</t>
        </is>
      </c>
      <c r="F80" s="15" t="inlineStr">
        <is>
          <t>for this service combination   ACI 318-25M 13.3.1.1</t>
        </is>
      </c>
      <c r="G80" s="16" t="n"/>
    </row>
    <row r="81">
      <c r="B81" s="12" t="inlineStr">
        <is>
          <t>Factored load</t>
        </is>
      </c>
      <c r="C81" s="13" t="inlineStr">
        <is>
          <t>Pu</t>
        </is>
      </c>
      <c r="D81" s="14" t="n">
        <v>2000</v>
      </c>
      <c r="E81" s="12" t="inlineStr">
        <is>
          <t>kN</t>
        </is>
      </c>
      <c r="F81" s="15" t="inlineStr"/>
      <c r="G81" s="16" t="n"/>
    </row>
    <row r="82">
      <c r="B82" s="12" t="inlineStr">
        <is>
          <t>Factored moment, along L</t>
        </is>
      </c>
      <c r="C82" s="13" t="inlineStr">
        <is>
          <t>MuL</t>
        </is>
      </c>
      <c r="D82" s="14" t="n">
        <v>260</v>
      </c>
      <c r="E82" s="12" t="inlineStr">
        <is>
          <t>kN-m</t>
        </is>
      </c>
      <c r="F82" s="15" t="inlineStr"/>
      <c r="G82" s="16" t="n"/>
    </row>
    <row r="83">
      <c r="B83" s="12" t="inlineStr">
        <is>
          <t>Factored moment, along B</t>
        </is>
      </c>
      <c r="C83" s="13" t="inlineStr">
        <is>
          <t>MuB</t>
        </is>
      </c>
      <c r="D83" s="14" t="n">
        <v>90</v>
      </c>
      <c r="E83" s="12" t="inlineStr">
        <is>
          <t>kN-m</t>
        </is>
      </c>
      <c r="F83" s="15" t="inlineStr"/>
      <c r="G83" s="16" t="n"/>
    </row>
    <row r="84">
      <c r="B84" s="12" t="inlineStr">
        <is>
          <t>Input check</t>
        </is>
      </c>
      <c r="C84" s="13" t="inlineStr"/>
      <c r="D84" s="21" t="str">
        <f>""</f>
        <v/>
      </c>
      <c r="E84" s="12" t="inlineStr"/>
      <c r="F84" s="15" t="inlineStr">
        <is>
          <t>every cell a number; column inside the footing; steel at the face</t>
        </is>
      </c>
      <c r="G84" s="16" t="str">
        <f>IFERROR(IF(AND(COUNT($D$33,$D$34,$D$35,$D$36,$D$37,$D$38,$D$39,$D$40,$D$41,$D$42,$D$44,$D$45,$D$46,$D$49,$D$50,$D$51,$D$52,$D$53,$D$54,$D$55,$D$56,$D$57,$D$58,$D$59,$D$62,$D$63,$D$64,$D$65,$D$66,$D$67,$D$68,$D$69,$D$70,$D$71,$D$74,$D$75,$D$76,$D$77,$D$78,$D$79,$D$80,$D$81,$D$82,$D$83)=44,MIN($D$33,$D$34,$D$35,$D$36,$D$37,$D$52,$D$53,$D$44,$D$45,$D$80,$D$59,$D$67,$D$71)&gt;0,MIN($D$33,$D$34,$D$35,$D$36,$D$37,$D$38,$D$39,$D$40,$D$41,$D$42,$D$44,$D$45,$D$46,$D$49,$D$50,$D$51,$D$52,$D$53,$D$54,$D$55,$D$56,$D$57,$D$58,$D$59,$D$62,$D$63,$D$64,$D$65,$D$66,$D$67,$D$68,$D$69,$D$70,$D$71,$D$74,$D$75,$D$76,$D$77,$D$78,$D$79,$D$80,$D$81,$D$82,$D$83)&gt;=0,$D$44&lt;$D$33,$D$45&lt;$D$34,$D$63&lt;=$D$62,$D$65&lt;=$D$64,$D$159&gt;0,$D$177&gt;0),"OK","INVALID INPUT"),"INVALID INPUT")</f>
        <v>OK</v>
      </c>
    </row>
    <row r="85" ht="26" customHeight="1">
      <c r="B85" s="22" t="inlineStr">
        <is>
          <t>Loads are those at the top of the footing; qa is the net permissible pressure. Enter moments as magnitudes. Sample values: a 2.0 x 3.0 x 0.60 m footing enlarged by 600 mm on every side with a 200 mm overlay, 700 kN on it when the jacket is cast.</t>
        </is>
      </c>
    </row>
    <row r="86" ht="13" customHeight="1">
      <c r="B86" s="22" t="inlineStr">
        <is>
          <t>Background on footing strengthening and why it is rarely straightforward: Antoniou (2023), Section 4.18. The equations behind each section, with clause and page, are on the Theory sheet.</t>
        </is>
      </c>
    </row>
    <row r="87"/>
    <row r="88" ht="18" customHeight="1">
      <c r="B88" s="10" t="inlineStr">
        <is>
          <t>RESULT SUMMARY</t>
        </is>
      </c>
    </row>
    <row r="89">
      <c r="B89" s="12" t="inlineStr">
        <is>
          <t>Bearing: q,max &lt;= qa</t>
        </is>
      </c>
      <c r="C89" s="13" t="inlineStr">
        <is>
          <t>q,max / qa</t>
        </is>
      </c>
      <c r="D89" s="23">
        <f>$D$144</f>
        <v>0.9754412088496113</v>
      </c>
      <c r="E89" s="12" t="inlineStr"/>
      <c r="F89" s="15" t="inlineStr">
        <is>
          <t>ACI 318-25M 13.3.1.1 with the load history</t>
        </is>
      </c>
      <c r="G89" s="16" t="str">
        <f>$G$144</f>
        <v>PASS</v>
      </c>
    </row>
    <row r="90">
      <c r="B90" s="12" t="inlineStr">
        <is>
          <t>Whole base in contact</t>
        </is>
      </c>
      <c r="C90" s="13" t="inlineStr">
        <is>
          <t>q,min</t>
        </is>
      </c>
      <c r="D90" s="24">
        <f>MIN($D$145,$D$151)</f>
        <v>32.02062074829932</v>
      </c>
      <c r="E90" s="12" t="inlineStr">
        <is>
          <t>kPa</t>
        </is>
      </c>
      <c r="F90" s="15" t="inlineStr">
        <is>
          <t>least of the service and factored q,min; needs &gt;= 0</t>
        </is>
      </c>
      <c r="G90" s="16" t="str">
        <f>IF(OR($G$145="FAIL",$G$151="FAIL"),"FAIL","PASS")</f>
        <v>PASS</v>
      </c>
    </row>
    <row r="91">
      <c r="B91" s="12" t="inlineStr">
        <is>
          <t>Flexure at the column face</t>
        </is>
      </c>
      <c r="C91" s="13" t="inlineStr">
        <is>
          <t>Mu / phi Mn</t>
        </is>
      </c>
      <c r="D91" s="23">
        <f>MAX($D$169,$D$187)</f>
        <v>0.7940950283991696</v>
      </c>
      <c r="E91" s="12" t="inlineStr"/>
      <c r="F91" s="15" t="inlineStr">
        <is>
          <t>ACI 318-25M Table 13.2.7.1, 22.3.3.2</t>
        </is>
      </c>
      <c r="G91" s="16" t="str">
        <f>IF(OR($G$169="FAIL",$G$187="FAIL"),"FAIL","PASS")</f>
        <v>PASS</v>
      </c>
    </row>
    <row r="92">
      <c r="B92" s="12" t="inlineStr">
        <is>
          <t>Minimum flexural steel (face, wing root)</t>
        </is>
      </c>
      <c r="C92" s="13" t="inlineStr">
        <is>
          <t>As,min / As</t>
        </is>
      </c>
      <c r="D92" s="23">
        <f>MAX($D$172,$D$190,$D$263,$D$277)</f>
        <v>0.9778479703566048</v>
      </c>
      <c r="E92" s="12" t="inlineStr"/>
      <c r="F92" s="15" t="inlineStr">
        <is>
          <t>ACI 318-25M 8.6.1.1, 7.6.1.1; d &gt;= 150 mm (13.3.1.2)</t>
        </is>
      </c>
      <c r="G92" s="16" t="str">
        <f>IF(OR($G$172="FAIL",$G$190="FAIL",$G$263="FAIL",$G$277="FAIL",$G$191="FAIL"),"FAIL","PASS")</f>
        <v>PASS</v>
      </c>
    </row>
    <row r="93">
      <c r="B93" s="12" t="inlineStr">
        <is>
          <t>Minimum steel at the column for punching</t>
        </is>
      </c>
      <c r="C93" s="13" t="inlineStr">
        <is>
          <t>req / prov</t>
        </is>
      </c>
      <c r="D93" s="23">
        <f>MAX($D$244,$D$248)</f>
        <v>0.9519562962049883</v>
      </c>
      <c r="E93" s="12" t="inlineStr"/>
      <c r="F93" s="15" t="inlineStr">
        <is>
          <t>ACI 318-25M Eq. (8.6.1.2)</t>
        </is>
      </c>
      <c r="G93" s="16" t="str">
        <f>IF(OR($G$244="FAIL",$G$248="FAIL"),"FAIL",IF($C$239="No","N/A","PASS"))</f>
        <v>PASS</v>
      </c>
    </row>
    <row r="94">
      <c r="B94" s="12" t="inlineStr">
        <is>
          <t>One-way shear at d from the column face</t>
        </is>
      </c>
      <c r="C94" s="13" t="inlineStr">
        <is>
          <t>Vu / phi Vc</t>
        </is>
      </c>
      <c r="D94" s="23">
        <f>MAX($D$202,$D$210)</f>
        <v>0.4327511003525967</v>
      </c>
      <c r="E94" s="12" t="inlineStr"/>
      <c r="F94" s="15" t="inlineStr">
        <is>
          <t>ACI 318-25M 13.2.7.2, 13.2.6.2(a)</t>
        </is>
      </c>
      <c r="G94" s="16" t="str">
        <f>IF(OR($G$202="FAIL",$G$210="FAIL"),"FAIL","PASS")</f>
        <v>PASS</v>
      </c>
    </row>
    <row r="95">
      <c r="B95" s="12" t="inlineStr">
        <is>
          <t>Two-way shear with moment transfer</t>
        </is>
      </c>
      <c r="C95" s="13" t="inlineStr">
        <is>
          <t>vu / phi vc</t>
        </is>
      </c>
      <c r="D95" s="23">
        <f>$D$234</f>
        <v>0.5897801660916323</v>
      </c>
      <c r="E95" s="12" t="inlineStr"/>
      <c r="F95" s="15" t="inlineStr">
        <is>
          <t>ACI 318-25M Table 22.6.5.2, 8.4.4.2</t>
        </is>
      </c>
      <c r="G95" s="16" t="str">
        <f>$G$234</f>
        <v>PASS</v>
      </c>
    </row>
    <row r="96">
      <c r="B96" s="12" t="inlineStr">
        <is>
          <t>Wings: flexure and shear at the old faces</t>
        </is>
      </c>
      <c r="C96" s="13" t="inlineStr">
        <is>
          <t>D/C</t>
        </is>
      </c>
      <c r="D96" s="23">
        <f>MAX($D$262,$D$276,$D$265,$D$279)</f>
        <v>0.17465297959089005</v>
      </c>
      <c r="E96" s="12" t="inlineStr"/>
      <c r="F96" s="15" t="inlineStr">
        <is>
          <t>cantilever from the old footing face</t>
        </is>
      </c>
      <c r="G96" s="16" t="str">
        <f>IF(OR($G$262="FAIL",$G$276="FAIL",$G$265="FAIL",$G$279="FAIL"),"FAIL",IF(AND($C$253="No",$C$267="No"),"N/A","PASS"))</f>
        <v>PASS</v>
      </c>
    </row>
    <row r="97">
      <c r="B97" s="12" t="inlineStr">
        <is>
          <t>Shear friction on the old faces, surface</t>
        </is>
      </c>
      <c r="C97" s="13" t="inlineStr">
        <is>
          <t>Vu / phi Vn</t>
        </is>
      </c>
      <c r="D97" s="23">
        <f>MAX($D$295,$D$305)</f>
        <v>0.16888528022543883</v>
      </c>
      <c r="E97" s="12" t="inlineStr"/>
      <c r="F97" s="15" t="inlineStr">
        <is>
          <t>ACI 318-25M Eq. (22.9.4.2); ACI 562-25 9.4.4.3</t>
        </is>
      </c>
      <c r="G97" s="16" t="str">
        <f>IF(OR($G$295="FAIL",$G$305="FAIL",$G$283="FAIL"),"FAIL",IF(AND($C$253="No",$C$267="No"),"N/A","PASS"))</f>
        <v>PASS</v>
      </c>
    </row>
    <row r="98">
      <c r="B98" s="12" t="inlineStr">
        <is>
          <t>Overlay: horizontal shear and tie spacing</t>
        </is>
      </c>
      <c r="C98" s="13" t="inlineStr">
        <is>
          <t>Vu / phi Vnh</t>
        </is>
      </c>
      <c r="D98" s="23">
        <f>MAX($D$326,$D$330)</f>
        <v>0.3214359496459915</v>
      </c>
      <c r="E98" s="12" t="inlineStr"/>
      <c r="F98" s="15" t="inlineStr">
        <is>
          <t>ACI 318-25M 16.4.3.1, 16.4.7.2</t>
        </is>
      </c>
      <c r="G98" s="16" t="str">
        <f>IF(OR($G$326="FAIL",$G$330="FAIL",$G$322="FAIL"),"FAIL",IF($C$123="No","N/A","PASS"))</f>
        <v>PASS</v>
      </c>
    </row>
    <row r="99" ht="22" customHeight="1">
      <c r="B99" s="25" t="inlineStr">
        <is>
          <t>OVERALL - FOOTING JACKET</t>
        </is>
      </c>
      <c r="C99" s="1" t="n"/>
      <c r="D99" s="1" t="n"/>
      <c r="E99" s="1" t="n"/>
      <c r="F99" s="1" t="n"/>
      <c r="G99" s="26" t="str">
        <f>IF($G$84&lt;&gt;"OK","INVALID INPUT",IF(OR($G$89="FAIL",$G$90="FAIL",$G$91="FAIL",$G$92="FAIL",$G$93="FAIL",$G$94="FAIL",$G$95="FAIL",$G$96="FAIL",$G$97="FAIL",$G$98="FAIL"),"FAIL","PASS"))</f>
        <v>PASS</v>
      </c>
    </row>
    <row r="100" ht="26" customHeight="1">
      <c r="B100" s="27" t="str">
        <f>IF($D$73="Yes","Existing load relieved before casting - the whole load spreads over the enlarged footing. Confirm on site that the shoring or jacking actually unloads the footing.","Unshored - the load on the footing when the jacket is cast stays on the old footprint and only the increment spreads over the enlarged base (ACI 562-25 R9.4.1; ASCE 41-17 C8.7). The old footprint carries q0 + q1, the wings q1 alone.")</f>
        <v>Unshored - the load on the footing when the jacket is cast stays on the old footprint and only the increment spreads over the enlarged base (ACI 562-25 R9.4.1; ASCE 41-17 C8.7). The old footprint carries q0 + q1, the wings q1 alone.</v>
      </c>
    </row>
    <row r="101"/>
    <row r="102" ht="18" customHeight="1">
      <c r="B102" s="10" t="inlineStr">
        <is>
          <t>2.0  GEOMETRY AND MATERIALS</t>
        </is>
      </c>
    </row>
    <row r="103">
      <c r="B103" s="12" t="inlineStr">
        <is>
          <t>Jacketed width</t>
        </is>
      </c>
      <c r="C103" s="13" t="inlineStr">
        <is>
          <t>B</t>
        </is>
      </c>
      <c r="D103" s="28">
        <f>$D$33+2*$D$49</f>
        <v>3200.0</v>
      </c>
      <c r="E103" s="12" t="inlineStr">
        <is>
          <t>mm</t>
        </is>
      </c>
      <c r="F103" s="15" t="inlineStr">
        <is>
          <t>B0 + 2 eB</t>
        </is>
      </c>
      <c r="G103" s="16" t="n"/>
    </row>
    <row r="104">
      <c r="B104" s="12" t="inlineStr">
        <is>
          <t>Jacketed length</t>
        </is>
      </c>
      <c r="C104" s="13" t="inlineStr">
        <is>
          <t>L</t>
        </is>
      </c>
      <c r="D104" s="28">
        <f>$D$34+2*$D$50</f>
        <v>4200.0</v>
      </c>
      <c r="E104" s="12" t="inlineStr">
        <is>
          <t>mm</t>
        </is>
      </c>
      <c r="F104" s="15" t="inlineStr">
        <is>
          <t>L0 + 2 eL</t>
        </is>
      </c>
      <c r="G104" s="16" t="n"/>
    </row>
    <row r="105">
      <c r="B105" s="12" t="inlineStr">
        <is>
          <t>Jacketed thickness</t>
        </is>
      </c>
      <c r="C105" s="13" t="inlineStr">
        <is>
          <t>h</t>
        </is>
      </c>
      <c r="D105" s="28">
        <f>$D$35+$D$51</f>
        <v>800.0</v>
      </c>
      <c r="E105" s="12" t="inlineStr">
        <is>
          <t>mm</t>
        </is>
      </c>
      <c r="F105" s="15" t="inlineStr">
        <is>
          <t>h0 + t,top</t>
        </is>
      </c>
      <c r="G105" s="16" t="n"/>
    </row>
    <row r="106">
      <c r="B106" s="12" t="inlineStr">
        <is>
          <t>Existing base area</t>
        </is>
      </c>
      <c r="C106" s="13" t="inlineStr">
        <is>
          <t>A0</t>
        </is>
      </c>
      <c r="D106" s="29">
        <f>$D$33*$D$34/1000000</f>
        <v>6.0</v>
      </c>
      <c r="E106" s="12" t="inlineStr">
        <is>
          <t>m2</t>
        </is>
      </c>
      <c r="F106" s="15" t="inlineStr"/>
      <c r="G106" s="16" t="n"/>
    </row>
    <row r="107">
      <c r="B107" s="12" t="inlineStr">
        <is>
          <t>Jacketed base area</t>
        </is>
      </c>
      <c r="C107" s="13" t="inlineStr">
        <is>
          <t>A</t>
        </is>
      </c>
      <c r="D107" s="29">
        <f>$D$103*$D$104/1000000</f>
        <v>13.44</v>
      </c>
      <c r="E107" s="12" t="inlineStr">
        <is>
          <t>m2</t>
        </is>
      </c>
      <c r="F107" s="15" t="inlineStr"/>
      <c r="G107" s="16" t="n"/>
    </row>
    <row r="108">
      <c r="B108" s="12" t="inlineStr">
        <is>
          <t>Concrete strength used for every section</t>
        </is>
      </c>
      <c r="C108" s="13" t="inlineStr">
        <is>
          <t>f'c</t>
        </is>
      </c>
      <c r="D108" s="30">
        <f>MIN($D$36,$D$52)</f>
        <v>21</v>
      </c>
      <c r="E108" s="12" t="inlineStr">
        <is>
          <t>MPa</t>
        </is>
      </c>
      <c r="F108" s="15" t="inlineStr">
        <is>
          <t>the lesser f'c   ACI 318-25M 22.3.3.4, 22.5.4.3, 22.9.4.4</t>
        </is>
      </c>
      <c r="G108" s="16" t="n"/>
    </row>
    <row r="109">
      <c r="B109" s="12" t="inlineStr">
        <is>
          <t>Square root of f'c used in shear</t>
        </is>
      </c>
      <c r="C109" s="13" t="inlineStr"/>
      <c r="D109" s="29">
        <f>MIN(SQRT($D$108),8.3)</f>
        <v>4.58257569495584</v>
      </c>
      <c r="E109" s="12" t="inlineStr">
        <is>
          <t>MPa</t>
        </is>
      </c>
      <c r="F109" s="15" t="inlineStr">
        <is>
          <t>not more than 8.3 MPa   ACI 318-25M 22.5.3.1, 22.6.3.1</t>
        </is>
      </c>
      <c r="G109" s="16" t="n"/>
    </row>
    <row r="110">
      <c r="B110" s="12" t="inlineStr">
        <is>
          <t>Stress block factor</t>
        </is>
      </c>
      <c r="C110" s="13" t="inlineStr">
        <is>
          <t>beta1</t>
        </is>
      </c>
      <c r="D110" s="29">
        <f>IF($D$108&lt;=28,0.85,IF($D$108&gt;=55,0.65,0.85-0.05*($D$108-28)/7))</f>
        <v>0.85</v>
      </c>
      <c r="E110" s="12" t="inlineStr"/>
      <c r="F110" s="15" t="inlineStr">
        <is>
          <t>ACI 318-25M Table 22.2.2.4.3</t>
        </is>
      </c>
      <c r="G110" s="16" t="n"/>
    </row>
    <row r="111">
      <c r="B111" s="12" t="inlineStr">
        <is>
          <t>Existing steel parallel to L</t>
        </is>
      </c>
      <c r="C111" s="13" t="inlineStr">
        <is>
          <t>As0</t>
        </is>
      </c>
      <c r="D111" s="31">
        <f>$D$38*(PI()*$D$39^2/4)</f>
        <v>2513.2741228718346</v>
      </c>
      <c r="E111" s="12" t="inlineStr">
        <is>
          <t>mm2</t>
        </is>
      </c>
      <c r="F111" s="15" t="inlineStr"/>
      <c r="G111" s="16" t="n"/>
    </row>
    <row r="112">
      <c r="B112" s="12" t="inlineStr">
        <is>
          <t>Existing steel parallel to B</t>
        </is>
      </c>
      <c r="C112" s="13" t="inlineStr">
        <is>
          <t>As0</t>
        </is>
      </c>
      <c r="D112" s="31">
        <f>$D$40*(PI()*$D$41^2/4)</f>
        <v>4712.38898038469</v>
      </c>
      <c r="E112" s="12" t="inlineStr">
        <is>
          <t>mm2</t>
        </is>
      </c>
      <c r="F112" s="15" t="inlineStr"/>
      <c r="G112" s="16" t="n"/>
    </row>
    <row r="113">
      <c r="B113" s="12" t="inlineStr">
        <is>
          <t>New steel parallel to L (side wings)</t>
        </is>
      </c>
      <c r="C113" s="13" t="inlineStr">
        <is>
          <t>Asj</t>
        </is>
      </c>
      <c r="D113" s="31">
        <f>$D$54*(PI()*$D$55^2/4)</f>
        <v>2513.2741228718346</v>
      </c>
      <c r="E113" s="12" t="inlineStr">
        <is>
          <t>mm2</t>
        </is>
      </c>
      <c r="F113" s="15" t="inlineStr"/>
      <c r="G113" s="16" t="n"/>
    </row>
    <row r="114">
      <c r="B114" s="12" t="inlineStr">
        <is>
          <t>New steel parallel to B (end wings)</t>
        </is>
      </c>
      <c r="C114" s="13" t="inlineStr">
        <is>
          <t>Asj</t>
        </is>
      </c>
      <c r="D114" s="31">
        <f>$D$56*(PI()*$D$57^2/4)</f>
        <v>3141.5926535897934</v>
      </c>
      <c r="E114" s="12" t="inlineStr">
        <is>
          <t>mm2</t>
        </is>
      </c>
      <c r="F114" s="15" t="inlineStr"/>
      <c r="G114" s="16" t="n"/>
    </row>
    <row r="115">
      <c r="B115" s="12" t="inlineStr">
        <is>
          <t>Bottom-row dowels, each end face</t>
        </is>
      </c>
      <c r="C115" s="13" t="inlineStr">
        <is>
          <t>Asd</t>
        </is>
      </c>
      <c r="D115" s="31">
        <f>$D$63*(PI()*$D$66^2/4)</f>
        <v>2199.1148575128555</v>
      </c>
      <c r="E115" s="12" t="inlineStr">
        <is>
          <t>mm2</t>
        </is>
      </c>
      <c r="F115" s="15" t="inlineStr"/>
      <c r="G115" s="16" t="n"/>
    </row>
    <row r="116">
      <c r="B116" s="12" t="inlineStr">
        <is>
          <t>Bottom-row dowels, each side face</t>
        </is>
      </c>
      <c r="C116" s="13" t="inlineStr">
        <is>
          <t>Asd</t>
        </is>
      </c>
      <c r="D116" s="31">
        <f>$D$65*(PI()*$D$66^2/4)</f>
        <v>3141.5926535897934</v>
      </c>
      <c r="E116" s="12" t="inlineStr">
        <is>
          <t>mm2</t>
        </is>
      </c>
      <c r="F116" s="15" t="inlineStr"/>
      <c r="G116" s="16" t="n"/>
    </row>
    <row r="117">
      <c r="B117" s="12" t="inlineStr">
        <is>
          <t>Depth to the existing bars parallel to L</t>
        </is>
      </c>
      <c r="C117" s="13" t="inlineStr">
        <is>
          <t>d0</t>
        </is>
      </c>
      <c r="D117" s="28">
        <f>$D$105-$D$42-$D$39/2</f>
        <v>715.0</v>
      </c>
      <c r="E117" s="12" t="inlineStr">
        <is>
          <t>mm</t>
        </is>
      </c>
      <c r="F117" s="15" t="inlineStr">
        <is>
          <t>from the top of the jacketed footing</t>
        </is>
      </c>
      <c r="G117" s="16" t="n"/>
    </row>
    <row r="118">
      <c r="B118" s="12" t="inlineStr">
        <is>
          <t>Depth to the existing bars parallel to B</t>
        </is>
      </c>
      <c r="C118" s="13" t="inlineStr">
        <is>
          <t>d0</t>
        </is>
      </c>
      <c r="D118" s="28">
        <f>$D$105-$D$42-$D$39-$D$41/2</f>
        <v>695.0</v>
      </c>
      <c r="E118" s="12" t="inlineStr">
        <is>
          <t>mm</t>
        </is>
      </c>
      <c r="F118" s="15" t="inlineStr">
        <is>
          <t>inner layer</t>
        </is>
      </c>
      <c r="G118" s="16" t="n"/>
    </row>
    <row r="119">
      <c r="B119" s="12" t="inlineStr">
        <is>
          <t>Depth to the new bars parallel to L</t>
        </is>
      </c>
      <c r="C119" s="13" t="inlineStr">
        <is>
          <t>dj</t>
        </is>
      </c>
      <c r="D119" s="28">
        <f>$D$105-$D$58-$D$55/2</f>
        <v>715.0</v>
      </c>
      <c r="E119" s="12" t="inlineStr">
        <is>
          <t>mm</t>
        </is>
      </c>
      <c r="F119" s="15" t="inlineStr"/>
      <c r="G119" s="16" t="n"/>
    </row>
    <row r="120">
      <c r="B120" s="12" t="inlineStr">
        <is>
          <t>Depth to the new bars parallel to B</t>
        </is>
      </c>
      <c r="C120" s="13" t="inlineStr">
        <is>
          <t>dj</t>
        </is>
      </c>
      <c r="D120" s="28">
        <f>$D$105-$D$58-$D$55-$D$57/2</f>
        <v>695.0</v>
      </c>
      <c r="E120" s="12" t="inlineStr">
        <is>
          <t>mm</t>
        </is>
      </c>
      <c r="F120" s="15" t="inlineStr"/>
      <c r="G120" s="16" t="n"/>
    </row>
    <row r="121">
      <c r="B121" s="12" t="inlineStr">
        <is>
          <t>Depth to the bottom dowel row</t>
        </is>
      </c>
      <c r="C121" s="13" t="inlineStr">
        <is>
          <t>dd</t>
        </is>
      </c>
      <c r="D121" s="28">
        <f>$D$105-$D$68</f>
        <v>700.0</v>
      </c>
      <c r="E121" s="12" t="inlineStr">
        <is>
          <t>mm</t>
        </is>
      </c>
      <c r="F121" s="15" t="inlineStr"/>
      <c r="G121" s="16" t="n"/>
    </row>
    <row r="122">
      <c r="B122" s="12" t="inlineStr">
        <is>
          <t>Wings provided?</t>
        </is>
      </c>
      <c r="C122" s="16" t="str">
        <f>IF(OR($D$49&gt;0,$D$50&gt;0),"Yes","No")</f>
        <v>Yes</v>
      </c>
      <c r="D122" s="32" t="n"/>
      <c r="E122" s="32" t="n"/>
      <c r="F122" s="15" t="inlineStr"/>
      <c r="G122" s="16" t="n"/>
    </row>
    <row r="123">
      <c r="B123" s="12" t="inlineStr">
        <is>
          <t>Overlay provided?</t>
        </is>
      </c>
      <c r="C123" s="16" t="str">
        <f>IF($D$51&gt;0,"Yes","No")</f>
        <v>Yes</v>
      </c>
      <c r="D123" s="32" t="n"/>
      <c r="E123" s="32" t="n"/>
      <c r="F123" s="15" t="inlineStr"/>
      <c r="G123" s="16" t="n"/>
    </row>
    <row r="124">
      <c r="B124" s="12" t="inlineStr">
        <is>
          <t>Full depth counted in shear?</t>
        </is>
      </c>
      <c r="C124" s="16" t="str">
        <f>IF(OR($D$47="Yes",$D$51=0),"Yes","No")</f>
        <v>Yes</v>
      </c>
      <c r="D124" s="32" t="n"/>
      <c r="E124" s="32" t="n"/>
      <c r="F124" s="15" t="inlineStr">
        <is>
          <t>No: an overlay not tied to the column is left out</t>
        </is>
      </c>
      <c r="G124" s="16" t="n"/>
    </row>
    <row r="125" ht="13" customHeight="1">
      <c r="B125" s="22" t="inlineStr">
        <is>
          <t>Directions: 'L' rows are the cantilevers that project along L - their sections are B wide and their bars run parallel to L. 'B' rows are the same turned through 90 degrees.</t>
        </is>
      </c>
    </row>
    <row r="126"/>
    <row r="127" ht="18" customHeight="1">
      <c r="B127" s="10" t="inlineStr">
        <is>
          <t>3.0  LOAD HISTORY AND BEARING  (ACI 562-25 R9.4.1, ASCE 41-17 C8.7)</t>
        </is>
      </c>
    </row>
    <row r="128">
      <c r="B128" s="12" t="inlineStr">
        <is>
          <t>Load locked on the old footprint</t>
        </is>
      </c>
      <c r="C128" s="13" t="inlineStr">
        <is>
          <t>P0</t>
        </is>
      </c>
      <c r="D128" s="31">
        <f>IF($D$73="Yes",0,$D$74)</f>
        <v>700</v>
      </c>
      <c r="E128" s="12" t="inlineStr">
        <is>
          <t>kN</t>
        </is>
      </c>
      <c r="F128" s="15" t="inlineStr">
        <is>
          <t>0 if the load is relieved before casting</t>
        </is>
      </c>
      <c r="G128" s="16" t="n"/>
    </row>
    <row r="129">
      <c r="B129" s="12" t="inlineStr">
        <is>
          <t>Moment locked on the old footprint, L</t>
        </is>
      </c>
      <c r="C129" s="13" t="inlineStr">
        <is>
          <t>M0L</t>
        </is>
      </c>
      <c r="D129" s="31">
        <f>IF($D$73="Yes",0,$D$75)</f>
        <v>0</v>
      </c>
      <c r="E129" s="12" t="inlineStr">
        <is>
          <t>kN-m</t>
        </is>
      </c>
      <c r="F129" s="15" t="inlineStr"/>
      <c r="G129" s="16" t="n"/>
    </row>
    <row r="130">
      <c r="B130" s="12" t="inlineStr">
        <is>
          <t>Moment locked on the old footprint, B</t>
        </is>
      </c>
      <c r="C130" s="13" t="inlineStr">
        <is>
          <t>M0B</t>
        </is>
      </c>
      <c r="D130" s="31">
        <f>IF($D$73="Yes",0,$D$76)</f>
        <v>0</v>
      </c>
      <c r="E130" s="12" t="inlineStr">
        <is>
          <t>kN-m</t>
        </is>
      </c>
      <c r="F130" s="15" t="inlineStr"/>
      <c r="G130" s="16" t="n"/>
    </row>
    <row r="131">
      <c r="B131" s="12" t="inlineStr">
        <is>
          <t>Service increment on the jacketed base</t>
        </is>
      </c>
      <c r="C131" s="13" t="inlineStr">
        <is>
          <t>dP</t>
        </is>
      </c>
      <c r="D131" s="31">
        <f>$D$77-$D$128</f>
        <v>800.0</v>
      </c>
      <c r="E131" s="12" t="inlineStr">
        <is>
          <t>kN</t>
        </is>
      </c>
      <c r="F131" s="15" t="inlineStr">
        <is>
          <t>P - P0</t>
        </is>
      </c>
      <c r="G131" s="16" t="n"/>
    </row>
    <row r="132">
      <c r="B132" s="12" t="inlineStr">
        <is>
          <t>Service moment increment, L</t>
        </is>
      </c>
      <c r="C132" s="13" t="inlineStr">
        <is>
          <t>dML</t>
        </is>
      </c>
      <c r="D132" s="31">
        <f>$D$78-$D$129</f>
        <v>180.0</v>
      </c>
      <c r="E132" s="12" t="inlineStr">
        <is>
          <t>kN-m</t>
        </is>
      </c>
      <c r="F132" s="15" t="inlineStr"/>
      <c r="G132" s="16" t="n"/>
    </row>
    <row r="133">
      <c r="B133" s="12" t="inlineStr">
        <is>
          <t>Service moment increment, B</t>
        </is>
      </c>
      <c r="C133" s="13" t="inlineStr">
        <is>
          <t>dMB</t>
        </is>
      </c>
      <c r="D133" s="31">
        <f>$D$79-$D$130</f>
        <v>60.0</v>
      </c>
      <c r="E133" s="12" t="inlineStr">
        <is>
          <t>kN-m</t>
        </is>
      </c>
      <c r="F133" s="15" t="inlineStr"/>
      <c r="G133" s="16" t="n"/>
    </row>
    <row r="134">
      <c r="B134" s="12" t="inlineStr">
        <is>
          <t>Factored increment on the jacketed base</t>
        </is>
      </c>
      <c r="C134" s="13" t="inlineStr">
        <is>
          <t>dPu</t>
        </is>
      </c>
      <c r="D134" s="31">
        <f>$D$81-$D$128</f>
        <v>1300.0</v>
      </c>
      <c r="E134" s="12" t="inlineStr">
        <is>
          <t>kN</t>
        </is>
      </c>
      <c r="F134" s="15" t="inlineStr">
        <is>
          <t>Pu - P0: the locked-in load is not factored</t>
        </is>
      </c>
      <c r="G134" s="16" t="n"/>
    </row>
    <row r="135">
      <c r="B135" s="12" t="inlineStr">
        <is>
          <t>Factored moment increment, L</t>
        </is>
      </c>
      <c r="C135" s="13" t="inlineStr">
        <is>
          <t>dMuL</t>
        </is>
      </c>
      <c r="D135" s="31">
        <f>$D$82-$D$129</f>
        <v>260.0</v>
      </c>
      <c r="E135" s="12" t="inlineStr">
        <is>
          <t>kN-m</t>
        </is>
      </c>
      <c r="F135" s="15" t="inlineStr"/>
      <c r="G135" s="16" t="n"/>
    </row>
    <row r="136">
      <c r="B136" s="12" t="inlineStr">
        <is>
          <t>Factored moment increment, B</t>
        </is>
      </c>
      <c r="C136" s="13" t="inlineStr">
        <is>
          <t>dMuB</t>
        </is>
      </c>
      <c r="D136" s="31">
        <f>$D$83-$D$130</f>
        <v>90.0</v>
      </c>
      <c r="E136" s="12" t="inlineStr">
        <is>
          <t>kN-m</t>
        </is>
      </c>
      <c r="F136" s="15" t="inlineStr"/>
      <c r="G136" s="16" t="n"/>
    </row>
    <row r="137">
      <c r="B137" s="12" t="inlineStr">
        <is>
          <t>Pressure locked under the old footprint</t>
        </is>
      </c>
      <c r="C137" s="13" t="inlineStr">
        <is>
          <t>q0</t>
        </is>
      </c>
      <c r="D137" s="30">
        <f>$D$128/$D$106</f>
        <v>116.66666666666667</v>
      </c>
      <c r="E137" s="12" t="inlineStr">
        <is>
          <t>kPa</t>
        </is>
      </c>
      <c r="F137" s="15" t="inlineStr">
        <is>
          <t>P0 / A0</t>
        </is>
      </c>
      <c r="G137" s="16" t="n"/>
    </row>
    <row r="138">
      <c r="B138" s="12" t="inlineStr">
        <is>
          <t>Pressure from the increment, whole base</t>
        </is>
      </c>
      <c r="C138" s="13" t="inlineStr">
        <is>
          <t>q1</t>
        </is>
      </c>
      <c r="D138" s="30">
        <f>$D$131/$D$107</f>
        <v>59.523809523809526</v>
      </c>
      <c r="E138" s="12" t="inlineStr">
        <is>
          <t>kPa</t>
        </is>
      </c>
      <c r="F138" s="15" t="inlineStr">
        <is>
          <t>(P - P0) / A</t>
        </is>
      </c>
      <c r="G138" s="16" t="n"/>
    </row>
    <row r="139">
      <c r="B139" s="12" t="inlineStr">
        <is>
          <t>Moment term at the old-footprint corner</t>
        </is>
      </c>
      <c r="C139" s="13" t="inlineStr"/>
      <c r="D139" s="30">
        <f>ABS(6000000000*$D$129/($D$33*$D$34^2)+6000000000*$D$132*$D$34/($D$103*$D$104^3))+ABS(6000000000*$D$130/($D$34*$D$33^2)+6000000000*$D$133*$D$33/($D$104*$D$103^3))</f>
        <v>18.897765579446066</v>
      </c>
      <c r="E139" s="12" t="inlineStr">
        <is>
          <t>kPa</t>
        </is>
      </c>
      <c r="F139" s="15" t="inlineStr">
        <is>
          <t>6 M0/(B0 L0^2) + 6 dM L0/(B L^3), both directions</t>
        </is>
      </c>
      <c r="G139" s="16" t="n"/>
    </row>
    <row r="140">
      <c r="B140" s="12" t="inlineStr">
        <is>
          <t>Moment term at the wing corner</t>
        </is>
      </c>
      <c r="C140" s="13" t="inlineStr"/>
      <c r="D140" s="30">
        <f>ABS(6000000000*$D$132/($D$103*$D$104^2))+ABS(6000000000*$D$133/($D$104*$D$103^2))</f>
        <v>27.503188775510203</v>
      </c>
      <c r="E140" s="12" t="inlineStr">
        <is>
          <t>kPa</t>
        </is>
      </c>
      <c r="F140" s="15" t="inlineStr">
        <is>
          <t>6 dM/(B L^2), both directions</t>
        </is>
      </c>
      <c r="G140" s="16" t="n"/>
    </row>
    <row r="141">
      <c r="B141" s="12" t="inlineStr">
        <is>
          <t>Greatest pressure under the old footprint</t>
        </is>
      </c>
      <c r="C141" s="13" t="inlineStr">
        <is>
          <t>q,old</t>
        </is>
      </c>
      <c r="D141" s="30">
        <f>$D$137+$D$138+$D$139</f>
        <v>195.08824176992226</v>
      </c>
      <c r="E141" s="12" t="inlineStr">
        <is>
          <t>kPa</t>
        </is>
      </c>
      <c r="F141" s="15" t="inlineStr">
        <is>
          <t>q0 + q1 + moment term</t>
        </is>
      </c>
      <c r="G141" s="16" t="n"/>
    </row>
    <row r="142">
      <c r="B142" s="12" t="inlineStr">
        <is>
          <t>Greatest pressure under the wings</t>
        </is>
      </c>
      <c r="C142" s="13" t="inlineStr">
        <is>
          <t>q,wing</t>
        </is>
      </c>
      <c r="D142" s="30">
        <f>$D$138+$D$140</f>
        <v>87.02699829931973</v>
      </c>
      <c r="E142" s="12" t="inlineStr">
        <is>
          <t>kPa</t>
        </is>
      </c>
      <c r="F142" s="15" t="inlineStr">
        <is>
          <t>q1 + moment term</t>
        </is>
      </c>
      <c r="G142" s="16" t="n"/>
    </row>
    <row r="143">
      <c r="B143" s="33" t="inlineStr">
        <is>
          <t>Greatest service pressure</t>
        </is>
      </c>
      <c r="C143" s="13" t="inlineStr">
        <is>
          <t>q,max</t>
        </is>
      </c>
      <c r="D143" s="34">
        <f>MAX($D$141,$D$142)</f>
        <v>195.08824176992226</v>
      </c>
      <c r="E143" s="12" t="inlineStr">
        <is>
          <t>kPa</t>
        </is>
      </c>
      <c r="F143" s="15" t="inlineStr"/>
      <c r="G143" s="16" t="n"/>
    </row>
    <row r="144">
      <c r="B144" s="12" t="inlineStr">
        <is>
          <t>Bearing utilisation</t>
        </is>
      </c>
      <c r="C144" s="13" t="inlineStr">
        <is>
          <t>q,max / qa</t>
        </is>
      </c>
      <c r="D144" s="23">
        <f>$D$143/$D$80</f>
        <v>0.9754412088496113</v>
      </c>
      <c r="E144" s="12" t="inlineStr"/>
      <c r="F144" s="15" t="inlineStr">
        <is>
          <t>ACI 318-25M 13.3.1.1</t>
        </is>
      </c>
      <c r="G144" s="16" t="str">
        <f>IF($D$143&lt;=$D$80,"PASS","FAIL")</f>
        <v>PASS</v>
      </c>
    </row>
    <row r="145">
      <c r="B145" s="12" t="inlineStr">
        <is>
          <t>Least service pressure</t>
        </is>
      </c>
      <c r="C145" s="13" t="inlineStr">
        <is>
          <t>q,min</t>
        </is>
      </c>
      <c r="D145" s="34">
        <f>MIN($D$137+$D$138-$D$139,$D$138-$D$140)</f>
        <v>32.02062074829932</v>
      </c>
      <c r="E145" s="12" t="inlineStr">
        <is>
          <t>kPa</t>
        </is>
      </c>
      <c r="F145" s="15" t="inlineStr">
        <is>
          <t>q,min &gt;= 0: whole base in contact</t>
        </is>
      </c>
      <c r="G145" s="16" t="str">
        <f>IF($D$145&gt;=0,"PASS","FAIL")</f>
        <v>PASS</v>
      </c>
    </row>
    <row r="146">
      <c r="B146" s="12" t="inlineStr">
        <is>
          <t>Factored pressure from the increment</t>
        </is>
      </c>
      <c r="C146" s="13" t="inlineStr">
        <is>
          <t>qu1</t>
        </is>
      </c>
      <c r="D146" s="30">
        <f>$D$134/$D$107</f>
        <v>96.72619047619048</v>
      </c>
      <c r="E146" s="12" t="inlineStr">
        <is>
          <t>kPa</t>
        </is>
      </c>
      <c r="F146" s="15" t="inlineStr">
        <is>
          <t>(Pu - P0) / A</t>
        </is>
      </c>
      <c r="G146" s="16" t="n"/>
    </row>
    <row r="147">
      <c r="B147" s="12" t="inlineStr">
        <is>
          <t>Factored moment term, old corner</t>
        </is>
      </c>
      <c r="C147" s="13" t="inlineStr"/>
      <c r="D147" s="30">
        <f>ABS(6000000000*$D$129/($D$33*$D$34^2)+6000000000*$D$135*$D$34/($D$103*$D$104^3))+ABS(6000000000*$D$130/($D$34*$D$33^2)+6000000000*$D$136*$D$33/($D$104*$D$103^3))</f>
        <v>27.58741610483479</v>
      </c>
      <c r="E147" s="12" t="inlineStr">
        <is>
          <t>kPa</t>
        </is>
      </c>
      <c r="F147" s="15" t="inlineStr"/>
      <c r="G147" s="16" t="n"/>
    </row>
    <row r="148">
      <c r="B148" s="12" t="inlineStr">
        <is>
          <t>Factored moment term, wing corner</t>
        </is>
      </c>
      <c r="C148" s="13" t="inlineStr"/>
      <c r="D148" s="30">
        <f>ABS(6000000000*$D$135/($D$103*$D$104^2))+ABS(6000000000*$D$136/($D$104*$D$103^2))</f>
        <v>40.19185799319728</v>
      </c>
      <c r="E148" s="12" t="inlineStr">
        <is>
          <t>kPa</t>
        </is>
      </c>
      <c r="F148" s="15" t="inlineStr"/>
      <c r="G148" s="16" t="n"/>
    </row>
    <row r="149">
      <c r="B149" s="12" t="inlineStr">
        <is>
          <t>Greatest factored pressure, old footprint</t>
        </is>
      </c>
      <c r="C149" s="13" t="inlineStr">
        <is>
          <t>qu,old</t>
        </is>
      </c>
      <c r="D149" s="30">
        <f>$D$137+$D$146+$D$147</f>
        <v>240.98027324769197</v>
      </c>
      <c r="E149" s="12" t="inlineStr">
        <is>
          <t>kPa</t>
        </is>
      </c>
      <c r="F149" s="15" t="inlineStr"/>
      <c r="G149" s="16" t="n"/>
    </row>
    <row r="150">
      <c r="B150" s="12" t="inlineStr">
        <is>
          <t>Greatest factored pressure, wings</t>
        </is>
      </c>
      <c r="C150" s="13" t="inlineStr">
        <is>
          <t>qu,wing</t>
        </is>
      </c>
      <c r="D150" s="30">
        <f>$D$146+$D$148</f>
        <v>136.91804846938777</v>
      </c>
      <c r="E150" s="12" t="inlineStr">
        <is>
          <t>kPa</t>
        </is>
      </c>
      <c r="F150" s="15" t="inlineStr"/>
      <c r="G150" s="16" t="n"/>
    </row>
    <row r="151">
      <c r="B151" s="12" t="inlineStr">
        <is>
          <t>Least factored pressure</t>
        </is>
      </c>
      <c r="C151" s="13" t="inlineStr">
        <is>
          <t>qu,min</t>
        </is>
      </c>
      <c r="D151" s="34">
        <f>MIN($D$137+$D$146-$D$147,$D$146-$D$148)</f>
        <v>56.5343324829932</v>
      </c>
      <c r="E151" s="12" t="inlineStr">
        <is>
          <t>kPa</t>
        </is>
      </c>
      <c r="F151" s="15" t="inlineStr">
        <is>
          <t>qu,min &gt;= 0: whole base in contact</t>
        </is>
      </c>
      <c r="G151" s="16" t="str">
        <f>IF($D$151&gt;=0,"PASS","FAIL")</f>
        <v>PASS</v>
      </c>
    </row>
    <row r="152" ht="13" customHeight="1">
      <c r="B152" s="22" t="inlineStr">
        <is>
          <t>For an upper bound on the jacket demands (the existing pressure fully redistributed at ultimate), run the sheet with the existing load relieved; the bearing check is then the lower bound.</t>
        </is>
      </c>
    </row>
    <row r="153"/>
    <row r="154" ht="18" customHeight="1">
      <c r="B154" s="10" t="inlineStr">
        <is>
          <t>4.0  FLEXURE AT THE COLUMN FACE  (ACI 318-25M Table 13.2.7.1, 22.3.3)</t>
        </is>
      </c>
    </row>
    <row r="155">
      <c r="B155" s="11" t="inlineStr">
        <is>
          <t>L direction - section B wide, bars parallel to L</t>
        </is>
      </c>
    </row>
    <row r="156">
      <c r="B156" s="12" t="inlineStr">
        <is>
          <t>Old cantilever beyond the column face</t>
        </is>
      </c>
      <c r="C156" s="13" t="inlineStr">
        <is>
          <t>a0</t>
        </is>
      </c>
      <c r="D156" s="28">
        <f>MAX(0,$D$34/2-$D$45/2)</f>
        <v>1300.0</v>
      </c>
      <c r="E156" s="12" t="inlineStr">
        <is>
          <t>mm</t>
        </is>
      </c>
      <c r="F156" s="15" t="inlineStr"/>
      <c r="G156" s="16" t="n"/>
    </row>
    <row r="157">
      <c r="B157" s="12" t="inlineStr">
        <is>
          <t>Jacketed cantilever beyond the face</t>
        </is>
      </c>
      <c r="C157" s="13" t="inlineStr">
        <is>
          <t>a</t>
        </is>
      </c>
      <c r="D157" s="28">
        <f>$D$104/2-$D$45/2</f>
        <v>1900.0</v>
      </c>
      <c r="E157" s="12" t="inlineStr">
        <is>
          <t>mm</t>
        </is>
      </c>
      <c r="F157" s="15" t="inlineStr"/>
      <c r="G157" s="16" t="n"/>
    </row>
    <row r="158">
      <c r="B158" s="33" t="inlineStr">
        <is>
          <t>Factored moment at the column face</t>
        </is>
      </c>
      <c r="C158" s="13" t="inlineStr">
        <is>
          <t>Mu</t>
        </is>
      </c>
      <c r="D158" s="35">
        <f>($D$128*$D$156^2/(2*$D$34)+$D$134*$D$157^2/(2*$D$104))/1000+ABS($D$129*$D$156^2*(4*$D$156+3*$D$45)/$D$34^3+$D$135*$D$157^2*(4*$D$157+3*$D$45)/$D$104^3)</f>
        <v>867.3418637296188</v>
      </c>
      <c r="E158" s="12" t="inlineStr">
        <is>
          <t>kN-m</t>
        </is>
      </c>
      <c r="F158" s="15" t="inlineStr">
        <is>
          <t>locked-in pressure on a0 + increment on a, with moments</t>
        </is>
      </c>
      <c r="G158" s="16" t="n"/>
    </row>
    <row r="159">
      <c r="B159" s="12" t="inlineStr">
        <is>
          <t>Tension steel crossing the section</t>
        </is>
      </c>
      <c r="C159" s="13" t="inlineStr">
        <is>
          <t>As</t>
        </is>
      </c>
      <c r="D159" s="31">
        <f>$D$111+$D$113</f>
        <v>5026.548245743669</v>
      </c>
      <c r="E159" s="12" t="inlineStr">
        <is>
          <t>mm2</t>
        </is>
      </c>
      <c r="F159" s="15" t="inlineStr">
        <is>
          <t>existing bars + new bars in the side wings</t>
        </is>
      </c>
      <c r="G159" s="16" t="n"/>
    </row>
    <row r="160">
      <c r="B160" s="12" t="inlineStr">
        <is>
          <t>Tension force at yield</t>
        </is>
      </c>
      <c r="C160" s="13" t="inlineStr">
        <is>
          <t>T</t>
        </is>
      </c>
      <c r="D160" s="31">
        <f>($D$111*$D$37+$D$113*$D$53)/1000</f>
        <v>1734.1591447815658</v>
      </c>
      <c r="E160" s="12" t="inlineStr">
        <is>
          <t>kN</t>
        </is>
      </c>
      <c r="F160" s="15" t="inlineStr">
        <is>
          <t>As0 fy0 + Asj fyj</t>
        </is>
      </c>
      <c r="G160" s="16" t="n"/>
    </row>
    <row r="161">
      <c r="B161" s="12" t="inlineStr">
        <is>
          <t>Depth of the stress block</t>
        </is>
      </c>
      <c r="C161" s="13" t="inlineStr">
        <is>
          <t>a</t>
        </is>
      </c>
      <c r="D161" s="30">
        <f>$D$160*1000/(0.85*$D$108*$D$103)</f>
        <v>30.359929005279515</v>
      </c>
      <c r="E161" s="12" t="inlineStr">
        <is>
          <t>mm</t>
        </is>
      </c>
      <c r="F161" s="15" t="inlineStr">
        <is>
          <t>T / (0.85 f'c b), whole composite width   22.3.3.2</t>
        </is>
      </c>
      <c r="G161" s="16" t="n"/>
    </row>
    <row r="162">
      <c r="B162" s="12" t="inlineStr">
        <is>
          <t>Neutral axis depth</t>
        </is>
      </c>
      <c r="C162" s="13" t="inlineStr">
        <is>
          <t>c</t>
        </is>
      </c>
      <c r="D162" s="30">
        <f>$D$161/$D$110</f>
        <v>35.71756353562296</v>
      </c>
      <c r="E162" s="12" t="inlineStr">
        <is>
          <t>mm</t>
        </is>
      </c>
      <c r="F162" s="15" t="inlineStr"/>
      <c r="G162" s="16" t="n"/>
    </row>
    <row r="163">
      <c r="B163" s="12" t="inlineStr">
        <is>
          <t>Effective depth (centroid of the steel)</t>
        </is>
      </c>
      <c r="C163" s="13" t="inlineStr">
        <is>
          <t>d</t>
        </is>
      </c>
      <c r="D163" s="28">
        <f>IF($D$159&gt;0,($D$111*$D$117+$D$113*$D$119)/$D$159,0)</f>
        <v>715.0</v>
      </c>
      <c r="E163" s="12" t="inlineStr">
        <is>
          <t>mm</t>
        </is>
      </c>
      <c r="F163" s="15" t="inlineStr"/>
      <c r="G163" s="16" t="n"/>
    </row>
    <row r="164">
      <c r="B164" s="12" t="inlineStr">
        <is>
          <t>Net tensile strain</t>
        </is>
      </c>
      <c r="C164" s="13" t="inlineStr">
        <is>
          <t>eps_t</t>
        </is>
      </c>
      <c r="D164" s="36">
        <f>IF($D$162&gt;0,0.003*(MAX(IF($D$111&gt;0,$D$117,0),IF($D$113&gt;0,$D$119,0))-$D$162)/$D$162,0)</f>
        <v>0.05705448825927563</v>
      </c>
      <c r="E164" s="12" t="inlineStr"/>
      <c r="F164" s="15" t="inlineStr">
        <is>
          <t>0.003 (dt - c) / c</t>
        </is>
      </c>
      <c r="G164" s="16" t="n"/>
    </row>
    <row r="165">
      <c r="B165" s="12" t="inlineStr">
        <is>
          <t>Strength reduction factor</t>
        </is>
      </c>
      <c r="C165" s="13" t="inlineStr">
        <is>
          <t>phi</t>
        </is>
      </c>
      <c r="D165" s="29">
        <f>IF($D$159&gt;0,MIN(0.9,MAX(0.65,0.65+0.25*($D$164-MAX(IF($D$111&gt;0,$D$37,0),IF($D$113&gt;0,$D$53,0))/200000)/0.003)),0.9)</f>
        <v>0.9</v>
      </c>
      <c r="E165" s="12" t="inlineStr"/>
      <c r="F165" s="15" t="inlineStr">
        <is>
          <t>ACI 562-25 Table 5.3.2: 0.90 if eps_t &gt;= eps_ty + 0.003</t>
        </is>
      </c>
      <c r="G165" s="16" t="n"/>
    </row>
    <row r="166">
      <c r="B166" s="12" t="inlineStr">
        <is>
          <t>Every tension layer yields?</t>
        </is>
      </c>
      <c r="C166" s="16" t="str">
        <f>IF($D$159=0,"Yes",IF(AND(OR($D$111=0,0.003*($D$117-$D$162)/$D$162&gt;=$D$37/200000),OR($D$113=0,0.003*($D$119-$D$162)/$D$162&gt;=$D$53/200000)),"Yes","No"))</f>
        <v>Yes</v>
      </c>
      <c r="D166" s="32" t="n"/>
      <c r="E166" s="32" t="n"/>
      <c r="F166" s="15" t="inlineStr">
        <is>
          <t>required by the yield-stress block used here</t>
        </is>
      </c>
      <c r="G166" s="16" t="n"/>
    </row>
    <row r="167">
      <c r="B167" s="12" t="inlineStr">
        <is>
          <t>Nominal moment strength</t>
        </is>
      </c>
      <c r="C167" s="13" t="inlineStr">
        <is>
          <t>Mn</t>
        </is>
      </c>
      <c r="D167" s="31">
        <f>($D$111*$D$37*($D$117-$D$161/2)+$D$113*$D$53*($D$119-$D$161/2))/1000000</f>
        <v>1213.5993142591074</v>
      </c>
      <c r="E167" s="12" t="inlineStr">
        <is>
          <t>kN-m</t>
        </is>
      </c>
      <c r="F167" s="15" t="inlineStr">
        <is>
          <t>sum of As fy (d - a/2)</t>
        </is>
      </c>
      <c r="G167" s="16" t="n"/>
    </row>
    <row r="168">
      <c r="B168" s="33" t="inlineStr">
        <is>
          <t>Design moment strength</t>
        </is>
      </c>
      <c r="C168" s="13" t="inlineStr">
        <is>
          <t>phi Mn</t>
        </is>
      </c>
      <c r="D168" s="35">
        <f>$D$165*$D$167</f>
        <v>1092.2393828331967</v>
      </c>
      <c r="E168" s="12" t="inlineStr">
        <is>
          <t>kN-m</t>
        </is>
      </c>
      <c r="F168" s="15" t="inlineStr"/>
      <c r="G168" s="16" t="n"/>
    </row>
    <row r="169">
      <c r="B169" s="12" t="inlineStr">
        <is>
          <t>Utilisation</t>
        </is>
      </c>
      <c r="C169" s="13" t="inlineStr">
        <is>
          <t>Mu / phi Mn</t>
        </is>
      </c>
      <c r="D169" s="23">
        <f>IF($D$168&gt;0,$D$158/$D$168,0)</f>
        <v>0.7940950283991696</v>
      </c>
      <c r="E169" s="12" t="inlineStr"/>
      <c r="F169" s="15" t="inlineStr"/>
      <c r="G169" s="16" t="str">
        <f>IF(AND($C$166="Yes",$D$158&lt;=$D$168),"PASS","FAIL")</f>
        <v>PASS</v>
      </c>
    </row>
    <row r="170">
      <c r="B170" s="12" t="inlineStr">
        <is>
          <t>Longitudinal force of one adjoining wing</t>
        </is>
      </c>
      <c r="C170" s="13" t="inlineStr">
        <is>
          <t>N</t>
        </is>
      </c>
      <c r="D170" s="31">
        <f>IF(AND($D$49&gt;0,$D$51=0,$D$167&gt;0),ABS($D$113/2*$D$53-0.85*$D$108*$D$161*$D$49)/1000*MIN(1,$D$158/$D$167),0)</f>
        <v>0</v>
      </c>
      <c r="E170" s="12" t="inlineStr">
        <is>
          <t>kN</t>
        </is>
      </c>
      <c r="F170" s="15" t="inlineStr">
        <is>
          <t>|Asj fyj / 2 - 0.85 f'c a e| x Mu/Mn; 0 with an overlay   see 8.0</t>
        </is>
      </c>
      <c r="G170" s="16" t="n"/>
    </row>
    <row r="171">
      <c r="B171" s="12" t="inlineStr">
        <is>
          <t>Minimum flexural reinforcement</t>
        </is>
      </c>
      <c r="C171" s="13" t="inlineStr">
        <is>
          <t>As,min</t>
        </is>
      </c>
      <c r="D171" s="31">
        <f>0.0018*$D$103*$D$105</f>
        <v>4608.0</v>
      </c>
      <c r="E171" s="12" t="inlineStr">
        <is>
          <t>mm2</t>
        </is>
      </c>
      <c r="F171" s="15" t="inlineStr">
        <is>
          <t>0.0018 Ag, jacketed section   ACI 318-25M 8.6.1.1, 7.6.1.1</t>
        </is>
      </c>
      <c r="G171" s="16" t="n"/>
    </row>
    <row r="172">
      <c r="B172" s="12" t="inlineStr">
        <is>
          <t>As,min / As</t>
        </is>
      </c>
      <c r="C172" s="13" t="inlineStr"/>
      <c r="D172" s="23">
        <f>IF($D$159&gt;0,$D$171/$D$159,0)</f>
        <v>0.9167324722093171</v>
      </c>
      <c r="E172" s="12" t="inlineStr"/>
      <c r="F172" s="15" t="inlineStr"/>
      <c r="G172" s="16" t="str">
        <f>IF($D$159&gt;=$D$171,"PASS","FAIL")</f>
        <v>PASS</v>
      </c>
    </row>
    <row r="173">
      <c r="B173" s="11" t="inlineStr">
        <is>
          <t>B direction - section L wide, bars parallel to B</t>
        </is>
      </c>
    </row>
    <row r="174">
      <c r="B174" s="12" t="inlineStr">
        <is>
          <t>Old cantilever beyond the column face</t>
        </is>
      </c>
      <c r="C174" s="13" t="inlineStr">
        <is>
          <t>a0</t>
        </is>
      </c>
      <c r="D174" s="28">
        <f>MAX(0,$D$33/2-$D$44/2)</f>
        <v>800.0</v>
      </c>
      <c r="E174" s="12" t="inlineStr">
        <is>
          <t>mm</t>
        </is>
      </c>
      <c r="F174" s="15" t="inlineStr"/>
      <c r="G174" s="16" t="n"/>
    </row>
    <row r="175">
      <c r="B175" s="12" t="inlineStr">
        <is>
          <t>Jacketed cantilever beyond the face</t>
        </is>
      </c>
      <c r="C175" s="13" t="inlineStr">
        <is>
          <t>a</t>
        </is>
      </c>
      <c r="D175" s="28">
        <f>$D$103/2-$D$44/2</f>
        <v>1400.0</v>
      </c>
      <c r="E175" s="12" t="inlineStr">
        <is>
          <t>mm</t>
        </is>
      </c>
      <c r="F175" s="15" t="inlineStr"/>
      <c r="G175" s="16" t="n"/>
    </row>
    <row r="176">
      <c r="B176" s="33" t="inlineStr">
        <is>
          <t>Factored moment at the column face</t>
        </is>
      </c>
      <c r="C176" s="13" t="inlineStr">
        <is>
          <t>Mu</t>
        </is>
      </c>
      <c r="D176" s="35">
        <f>($D$128*$D$174^2/(2*$D$33)+$D$134*$D$175^2/(2*$D$103))/1000+ABS($D$130*$D$174^2*(4*$D$174+3*$D$44)/$D$33^3+$D$136*$D$175^2*(4*$D$175+3*$D$44)/$D$103^3)</f>
        <v>546.7314453125</v>
      </c>
      <c r="E176" s="12" t="inlineStr">
        <is>
          <t>kN-m</t>
        </is>
      </c>
      <c r="F176" s="15" t="inlineStr">
        <is>
          <t>locked-in pressure on a0 + increment on a, with moments</t>
        </is>
      </c>
      <c r="G176" s="16" t="n"/>
    </row>
    <row r="177">
      <c r="B177" s="12" t="inlineStr">
        <is>
          <t>Tension steel crossing the section</t>
        </is>
      </c>
      <c r="C177" s="13" t="inlineStr">
        <is>
          <t>As</t>
        </is>
      </c>
      <c r="D177" s="31">
        <f>$D$112+$D$114</f>
        <v>7853.981633974483</v>
      </c>
      <c r="E177" s="12" t="inlineStr">
        <is>
          <t>mm2</t>
        </is>
      </c>
      <c r="F177" s="15" t="inlineStr">
        <is>
          <t>existing bars + new bars in the end wings</t>
        </is>
      </c>
      <c r="G177" s="16" t="n"/>
    </row>
    <row r="178">
      <c r="B178" s="12" t="inlineStr">
        <is>
          <t>Tension force at yield</t>
        </is>
      </c>
      <c r="C178" s="13" t="inlineStr">
        <is>
          <t>T</t>
        </is>
      </c>
      <c r="D178" s="31">
        <f>($D$112*$D$37+$D$114*$D$53)/1000</f>
        <v>2599.6679208455544</v>
      </c>
      <c r="E178" s="12" t="inlineStr">
        <is>
          <t>kN</t>
        </is>
      </c>
      <c r="F178" s="15" t="inlineStr">
        <is>
          <t>As0 fy0 + Asj fyj</t>
        </is>
      </c>
      <c r="G178" s="16" t="n"/>
    </row>
    <row r="179">
      <c r="B179" s="12" t="inlineStr">
        <is>
          <t>Depth of the stress block</t>
        </is>
      </c>
      <c r="C179" s="13" t="inlineStr">
        <is>
          <t>a</t>
        </is>
      </c>
      <c r="D179" s="30">
        <f>$D$178*1000/(0.85*$D$108*$D$104)</f>
        <v>34.67610938836274</v>
      </c>
      <c r="E179" s="12" t="inlineStr">
        <is>
          <t>mm</t>
        </is>
      </c>
      <c r="F179" s="15" t="inlineStr">
        <is>
          <t>T / (0.85 f'c b), whole composite width   22.3.3.2</t>
        </is>
      </c>
      <c r="G179" s="16" t="n"/>
    </row>
    <row r="180">
      <c r="B180" s="12" t="inlineStr">
        <is>
          <t>Neutral axis depth</t>
        </is>
      </c>
      <c r="C180" s="13" t="inlineStr">
        <is>
          <t>c</t>
        </is>
      </c>
      <c r="D180" s="30">
        <f>$D$179/$D$110</f>
        <v>40.79542280983852</v>
      </c>
      <c r="E180" s="12" t="inlineStr">
        <is>
          <t>mm</t>
        </is>
      </c>
      <c r="F180" s="15" t="inlineStr"/>
      <c r="G180" s="16" t="n"/>
    </row>
    <row r="181">
      <c r="B181" s="12" t="inlineStr">
        <is>
          <t>Effective depth (centroid of the steel)</t>
        </is>
      </c>
      <c r="C181" s="13" t="inlineStr">
        <is>
          <t>d</t>
        </is>
      </c>
      <c r="D181" s="28">
        <f>IF($D$177&gt;0,($D$112*$D$118+$D$114*$D$120)/$D$177,0)</f>
        <v>695.0</v>
      </c>
      <c r="E181" s="12" t="inlineStr">
        <is>
          <t>mm</t>
        </is>
      </c>
      <c r="F181" s="15" t="inlineStr"/>
      <c r="G181" s="16" t="n"/>
    </row>
    <row r="182">
      <c r="B182" s="12" t="inlineStr">
        <is>
          <t>Net tensile strain</t>
        </is>
      </c>
      <c r="C182" s="13" t="inlineStr">
        <is>
          <t>eps_t</t>
        </is>
      </c>
      <c r="D182" s="36">
        <f>IF($D$180&gt;0,0.003*(MAX(IF($D$112&gt;0,$D$118,0),IF($D$114&gt;0,$D$120,0))-$D$180)/$D$180,0)</f>
        <v>0.048108674855973456</v>
      </c>
      <c r="E182" s="12" t="inlineStr"/>
      <c r="F182" s="15" t="inlineStr">
        <is>
          <t>0.003 (dt - c) / c</t>
        </is>
      </c>
      <c r="G182" s="16" t="n"/>
    </row>
    <row r="183">
      <c r="B183" s="12" t="inlineStr">
        <is>
          <t>Strength reduction factor</t>
        </is>
      </c>
      <c r="C183" s="13" t="inlineStr">
        <is>
          <t>phi</t>
        </is>
      </c>
      <c r="D183" s="29">
        <f>IF($D$177&gt;0,MIN(0.9,MAX(0.65,0.65+0.25*($D$182-MAX(IF($D$112&gt;0,$D$37,0),IF($D$114&gt;0,$D$53,0))/200000)/0.003)),0.9)</f>
        <v>0.9</v>
      </c>
      <c r="E183" s="12" t="inlineStr"/>
      <c r="F183" s="15" t="inlineStr">
        <is>
          <t>ACI 562-25 Table 5.3.2: 0.90 if eps_t &gt;= eps_ty + 0.003</t>
        </is>
      </c>
      <c r="G183" s="16" t="n"/>
    </row>
    <row r="184">
      <c r="B184" s="12" t="inlineStr">
        <is>
          <t>Every tension layer yields?</t>
        </is>
      </c>
      <c r="C184" s="16" t="str">
        <f>IF($D$177=0,"Yes",IF(AND(OR($D$112=0,0.003*($D$118-$D$180)/$D$180&gt;=$D$37/200000),OR($D$114=0,0.003*($D$120-$D$180)/$D$180&gt;=$D$53/200000)),"Yes","No"))</f>
        <v>Yes</v>
      </c>
      <c r="D184" s="32" t="n"/>
      <c r="E184" s="32" t="n"/>
      <c r="F184" s="15" t="inlineStr">
        <is>
          <t>required by the yield-stress block used here</t>
        </is>
      </c>
      <c r="G184" s="16" t="n"/>
    </row>
    <row r="185">
      <c r="B185" s="12" t="inlineStr">
        <is>
          <t>Nominal moment strength</t>
        </is>
      </c>
      <c r="C185" s="13" t="inlineStr">
        <is>
          <t>Mn</t>
        </is>
      </c>
      <c r="D185" s="31">
        <f>($D$112*$D$37*($D$118-$D$179/2)+$D$114*$D$53*($D$120-$D$179/2))/1000000</f>
        <v>1761.6960203893311</v>
      </c>
      <c r="E185" s="12" t="inlineStr">
        <is>
          <t>kN-m</t>
        </is>
      </c>
      <c r="F185" s="15" t="inlineStr">
        <is>
          <t>sum of As fy (d - a/2)</t>
        </is>
      </c>
      <c r="G185" s="16" t="n"/>
    </row>
    <row r="186">
      <c r="B186" s="33" t="inlineStr">
        <is>
          <t>Design moment strength</t>
        </is>
      </c>
      <c r="C186" s="13" t="inlineStr">
        <is>
          <t>phi Mn</t>
        </is>
      </c>
      <c r="D186" s="35">
        <f>$D$183*$D$185</f>
        <v>1585.526418350398</v>
      </c>
      <c r="E186" s="12" t="inlineStr">
        <is>
          <t>kN-m</t>
        </is>
      </c>
      <c r="F186" s="15" t="inlineStr"/>
      <c r="G186" s="16" t="n"/>
    </row>
    <row r="187">
      <c r="B187" s="12" t="inlineStr">
        <is>
          <t>Utilisation</t>
        </is>
      </c>
      <c r="C187" s="13" t="inlineStr">
        <is>
          <t>Mu / phi Mn</t>
        </is>
      </c>
      <c r="D187" s="23">
        <f>IF($D$186&gt;0,$D$176/$D$186,0)</f>
        <v>0.3448264494270152</v>
      </c>
      <c r="E187" s="12" t="inlineStr"/>
      <c r="F187" s="15" t="inlineStr"/>
      <c r="G187" s="16" t="str">
        <f>IF(AND($C$184="Yes",$D$176&lt;=$D$186),"PASS","FAIL")</f>
        <v>PASS</v>
      </c>
    </row>
    <row r="188">
      <c r="B188" s="12" t="inlineStr">
        <is>
          <t>Longitudinal force of one adjoining wing</t>
        </is>
      </c>
      <c r="C188" s="13" t="inlineStr">
        <is>
          <t>N</t>
        </is>
      </c>
      <c r="D188" s="31">
        <f>IF(AND($D$50&gt;0,$D$51=0,$D$185&gt;0),ABS($D$114/2*$D$53-0.85*$D$108*$D$179*$D$50)/1000*MIN(1,$D$176/$D$185),0)</f>
        <v>0</v>
      </c>
      <c r="E188" s="12" t="inlineStr">
        <is>
          <t>kN</t>
        </is>
      </c>
      <c r="F188" s="15" t="inlineStr">
        <is>
          <t>|Asj fyj / 2 - 0.85 f'c a e| x Mu/Mn; 0 with an overlay   see 8.0</t>
        </is>
      </c>
      <c r="G188" s="16" t="n"/>
    </row>
    <row r="189">
      <c r="B189" s="12" t="inlineStr">
        <is>
          <t>Minimum flexural reinforcement</t>
        </is>
      </c>
      <c r="C189" s="13" t="inlineStr">
        <is>
          <t>As,min</t>
        </is>
      </c>
      <c r="D189" s="31">
        <f>0.0018*$D$104*$D$105</f>
        <v>6048.0</v>
      </c>
      <c r="E189" s="12" t="inlineStr">
        <is>
          <t>mm2</t>
        </is>
      </c>
      <c r="F189" s="15" t="inlineStr">
        <is>
          <t>0.0018 Ag, jacketed section   ACI 318-25M 8.6.1.1, 7.6.1.1</t>
        </is>
      </c>
      <c r="G189" s="16" t="n"/>
    </row>
    <row r="190">
      <c r="B190" s="12" t="inlineStr">
        <is>
          <t>As,min / As</t>
        </is>
      </c>
      <c r="C190" s="13" t="inlineStr"/>
      <c r="D190" s="23">
        <f>IF($D$177&gt;0,$D$189/$D$177,0)</f>
        <v>0.7700552766558264</v>
      </c>
      <c r="E190" s="12" t="inlineStr"/>
      <c r="F190" s="15" t="inlineStr"/>
      <c r="G190" s="16" t="str">
        <f>IF($D$177&gt;=$D$189,"PASS","FAIL")</f>
        <v>PASS</v>
      </c>
    </row>
    <row r="191">
      <c r="B191" s="12" t="inlineStr">
        <is>
          <t>Least effective depth of the bottom steel</t>
        </is>
      </c>
      <c r="C191" s="13" t="inlineStr">
        <is>
          <t>d</t>
        </is>
      </c>
      <c r="D191" s="24">
        <f>MIN($D$163,$D$181)</f>
        <v>695.0</v>
      </c>
      <c r="E191" s="12" t="inlineStr">
        <is>
          <t>mm</t>
        </is>
      </c>
      <c r="F191" s="15" t="inlineStr">
        <is>
          <t>at least 150 mm   ACI 318-25M 13.3.1.2</t>
        </is>
      </c>
      <c r="G191" s="16" t="str">
        <f>IF(MIN($D$163,$D$181)&gt;=150,"PASS","FAIL")</f>
        <v>PASS</v>
      </c>
    </row>
    <row r="192" ht="13" customHeight="1">
      <c r="B192" s="22" t="inlineStr">
        <is>
          <t>Mn uses the entire composite section and makes no distinction between shored and unshored construction (ACI 318-25M 22.3.3.2, 22.3.3.3). That needs the interfaces of 8.0 and 9.0 to transfer their forces.</t>
        </is>
      </c>
    </row>
    <row r="193"/>
    <row r="194" ht="18" customHeight="1">
      <c r="B194" s="10" t="inlineStr">
        <is>
          <t>5.0  ONE-WAY SHEAR  (ACI 318-25M 13.2.7.2, 13.2.6.2(a))</t>
        </is>
      </c>
    </row>
    <row r="195">
      <c r="B195" s="11" t="inlineStr">
        <is>
          <t>L direction</t>
        </is>
      </c>
    </row>
    <row r="196">
      <c r="B196" s="12" t="inlineStr">
        <is>
          <t>Depth used for shear</t>
        </is>
      </c>
      <c r="C196" s="13" t="inlineStr">
        <is>
          <t>dv</t>
        </is>
      </c>
      <c r="D196" s="28">
        <f>IF($C$124="Yes",$D$163,$D$163-$D$51)</f>
        <v>715.0</v>
      </c>
      <c r="E196" s="12" t="inlineStr">
        <is>
          <t>mm</t>
        </is>
      </c>
      <c r="F196" s="15" t="inlineStr">
        <is>
          <t>less the overlay unless it is tied to the column</t>
        </is>
      </c>
      <c r="G196" s="16" t="n"/>
    </row>
    <row r="197">
      <c r="B197" s="12" t="inlineStr">
        <is>
          <t>Critical section, from the footing centre</t>
        </is>
      </c>
      <c r="C197" s="13" t="inlineStr"/>
      <c r="D197" s="28">
        <f>$D$45/2+$D$196</f>
        <v>915.0</v>
      </c>
      <c r="E197" s="12" t="inlineStr">
        <is>
          <t>mm</t>
        </is>
      </c>
      <c r="F197" s="15" t="inlineStr">
        <is>
          <t>dv from the column face   ACI 318-25M 7.4.3.2</t>
        </is>
      </c>
      <c r="G197" s="16" t="n"/>
    </row>
    <row r="198">
      <c r="B198" s="12" t="inlineStr">
        <is>
          <t>Old footprint beyond the section</t>
        </is>
      </c>
      <c r="C198" s="13" t="inlineStr"/>
      <c r="D198" s="28">
        <f>MAX(0,$D$34/2-$D$197)</f>
        <v>585.0</v>
      </c>
      <c r="E198" s="12" t="inlineStr">
        <is>
          <t>mm</t>
        </is>
      </c>
      <c r="F198" s="15" t="inlineStr"/>
      <c r="G198" s="16" t="n"/>
    </row>
    <row r="199">
      <c r="B199" s="12" t="inlineStr">
        <is>
          <t>Jacketed footing beyond the section</t>
        </is>
      </c>
      <c r="C199" s="13" t="inlineStr"/>
      <c r="D199" s="28">
        <f>MAX(0,$D$104/2-$D$197)</f>
        <v>1185.0</v>
      </c>
      <c r="E199" s="12" t="inlineStr">
        <is>
          <t>mm</t>
        </is>
      </c>
      <c r="F199" s="15" t="inlineStr"/>
      <c r="G199" s="16" t="n"/>
    </row>
    <row r="200">
      <c r="B200" s="33" t="inlineStr">
        <is>
          <t>Factored shear at the section</t>
        </is>
      </c>
      <c r="C200" s="13" t="inlineStr">
        <is>
          <t>Vu</t>
        </is>
      </c>
      <c r="D200" s="35">
        <f>$D$128*$D$198/$D$34+$D$134*$D$199/$D$104+ABS(6*$D$129*$D$198*($D$34/2+$D$197)/$D$34^3+6*$D$135*$D$199*($D$104/2+$D$197)/$D$104^3)*1000</f>
        <v>578.5142128279883</v>
      </c>
      <c r="E200" s="12" t="inlineStr">
        <is>
          <t>kN</t>
        </is>
      </c>
      <c r="F200" s="15" t="inlineStr">
        <is>
          <t>pressure beyond the section, both stages</t>
        </is>
      </c>
      <c r="G200" s="16" t="n"/>
    </row>
    <row r="201">
      <c r="B201" s="33" t="inlineStr">
        <is>
          <t>Design shear strength</t>
        </is>
      </c>
      <c r="C201" s="13" t="inlineStr">
        <is>
          <t>phi Vc</t>
        </is>
      </c>
      <c r="D201" s="35">
        <f>0.75*0.17*$D$59*$D$109*$D$103*$D$196/1000</f>
        <v>1336.8289817325176</v>
      </c>
      <c r="E201" s="12" t="inlineStr">
        <is>
          <t>kN</t>
        </is>
      </c>
      <c r="F201" s="15" t="inlineStr">
        <is>
          <t>phi 0.17 lambda sqrt(f'c) bw dv, phi = 0.75   13.2.6.2(a), 22.5.4.4</t>
        </is>
      </c>
      <c r="G201" s="16" t="n"/>
    </row>
    <row r="202">
      <c r="B202" s="12" t="inlineStr">
        <is>
          <t>Utilisation</t>
        </is>
      </c>
      <c r="C202" s="13" t="inlineStr">
        <is>
          <t>Vu / phi Vc</t>
        </is>
      </c>
      <c r="D202" s="23">
        <f>IF($D$201&gt;0,$D$200/$D$201,0)</f>
        <v>0.4327511003525967</v>
      </c>
      <c r="E202" s="12" t="inlineStr"/>
      <c r="F202" s="15" t="inlineStr"/>
      <c r="G202" s="16" t="str">
        <f>IF($D$200&lt;=$D$201,"PASS","FAIL")</f>
        <v>PASS</v>
      </c>
    </row>
    <row r="203">
      <c r="B203" s="11" t="inlineStr">
        <is>
          <t>B direction</t>
        </is>
      </c>
    </row>
    <row r="204">
      <c r="B204" s="12" t="inlineStr">
        <is>
          <t>Depth used for shear</t>
        </is>
      </c>
      <c r="C204" s="13" t="inlineStr">
        <is>
          <t>dv</t>
        </is>
      </c>
      <c r="D204" s="28">
        <f>IF($C$124="Yes",$D$181,$D$181-$D$51)</f>
        <v>695.0</v>
      </c>
      <c r="E204" s="12" t="inlineStr">
        <is>
          <t>mm</t>
        </is>
      </c>
      <c r="F204" s="15" t="inlineStr">
        <is>
          <t>less the overlay unless it is tied to the column</t>
        </is>
      </c>
      <c r="G204" s="16" t="n"/>
    </row>
    <row r="205">
      <c r="B205" s="12" t="inlineStr">
        <is>
          <t>Critical section, from the footing centre</t>
        </is>
      </c>
      <c r="C205" s="13" t="inlineStr"/>
      <c r="D205" s="28">
        <f>$D$44/2+$D$204</f>
        <v>895.0</v>
      </c>
      <c r="E205" s="12" t="inlineStr">
        <is>
          <t>mm</t>
        </is>
      </c>
      <c r="F205" s="15" t="inlineStr">
        <is>
          <t>dv from the column face   ACI 318-25M 7.4.3.2</t>
        </is>
      </c>
      <c r="G205" s="16" t="n"/>
    </row>
    <row r="206">
      <c r="B206" s="12" t="inlineStr">
        <is>
          <t>Old footprint beyond the section</t>
        </is>
      </c>
      <c r="C206" s="13" t="inlineStr"/>
      <c r="D206" s="28">
        <f>MAX(0,$D$33/2-$D$205)</f>
        <v>105.0</v>
      </c>
      <c r="E206" s="12" t="inlineStr">
        <is>
          <t>mm</t>
        </is>
      </c>
      <c r="F206" s="15" t="inlineStr"/>
      <c r="G206" s="16" t="n"/>
    </row>
    <row r="207">
      <c r="B207" s="12" t="inlineStr">
        <is>
          <t>Jacketed footing beyond the section</t>
        </is>
      </c>
      <c r="C207" s="13" t="inlineStr"/>
      <c r="D207" s="28">
        <f>MAX(0,$D$103/2-$D$205)</f>
        <v>705.0</v>
      </c>
      <c r="E207" s="12" t="inlineStr">
        <is>
          <t>mm</t>
        </is>
      </c>
      <c r="F207" s="15" t="inlineStr"/>
      <c r="G207" s="16" t="n"/>
    </row>
    <row r="208">
      <c r="B208" s="33" t="inlineStr">
        <is>
          <t>Factored shear at the section</t>
        </is>
      </c>
      <c r="C208" s="13" t="inlineStr">
        <is>
          <t>Vu</t>
        </is>
      </c>
      <c r="D208" s="35">
        <f>$D$128*$D$206/$D$33+$D$134*$D$207/$D$103+ABS(6*$D$130*$D$206*($D$33/2+$D$205)/$D$33^3+6*$D$136*$D$207*($D$103/2+$D$205)/$D$103^3)*1000</f>
        <v>352.1432647705078</v>
      </c>
      <c r="E208" s="12" t="inlineStr">
        <is>
          <t>kN</t>
        </is>
      </c>
      <c r="F208" s="15" t="inlineStr">
        <is>
          <t>pressure beyond the section, both stages</t>
        </is>
      </c>
      <c r="G208" s="16" t="n"/>
    </row>
    <row r="209">
      <c r="B209" s="33" t="inlineStr">
        <is>
          <t>Design shear strength</t>
        </is>
      </c>
      <c r="C209" s="13" t="inlineStr">
        <is>
          <t>phi Vc</t>
        </is>
      </c>
      <c r="D209" s="35">
        <f>0.75*0.17*$D$59*$D$109*$D$104*$D$204/1000</f>
        <v>1705.5086528309523</v>
      </c>
      <c r="E209" s="12" t="inlineStr">
        <is>
          <t>kN</t>
        </is>
      </c>
      <c r="F209" s="15" t="inlineStr">
        <is>
          <t>phi 0.17 lambda sqrt(f'c) bw dv, phi = 0.75   13.2.6.2(a), 22.5.4.4</t>
        </is>
      </c>
      <c r="G209" s="16" t="n"/>
    </row>
    <row r="210">
      <c r="B210" s="12" t="inlineStr">
        <is>
          <t>Utilisation</t>
        </is>
      </c>
      <c r="C210" s="13" t="inlineStr">
        <is>
          <t>Vu / phi Vc</t>
        </is>
      </c>
      <c r="D210" s="23">
        <f>IF($D$209&gt;0,$D$208/$D$209,0)</f>
        <v>0.20647404173880304</v>
      </c>
      <c r="E210" s="12" t="inlineStr"/>
      <c r="F210" s="15" t="inlineStr"/>
      <c r="G210" s="16" t="str">
        <f>IF($D$208&lt;=$D$209,"PASS","FAIL")</f>
        <v>PASS</v>
      </c>
    </row>
    <row r="211" ht="26" customHeight="1">
      <c r="B211" s="22" t="inlineStr">
        <is>
          <t>ACI 318-25M 13.2.6.2 applies to a footing designed as rigid, with the linear pressure used here; phi = 0.75 is ACI 562-25 Table 5.3.2. The d offset of ACI 318-25M 7.4.3.2 rests on the column reaction, which enters at the top of the OLD footing unless the overlay is tied to the column.</t>
        </is>
      </c>
    </row>
    <row r="212"/>
    <row r="213" ht="18" customHeight="1">
      <c r="B213" s="10" t="inlineStr">
        <is>
          <t>6.0  TWO-WAY SHEAR  (ACI 318-25M 22.6, 8.4.4.2)</t>
        </is>
      </c>
    </row>
    <row r="214">
      <c r="B214" s="12" t="inlineStr">
        <is>
          <t>Average effective depth</t>
        </is>
      </c>
      <c r="C214" s="13" t="inlineStr">
        <is>
          <t>d</t>
        </is>
      </c>
      <c r="D214" s="28">
        <f>($D$163+$D$181)/2</f>
        <v>705.0</v>
      </c>
      <c r="E214" s="12" t="inlineStr">
        <is>
          <t>mm</t>
        </is>
      </c>
      <c r="F214" s="15" t="inlineStr">
        <is>
          <t>ACI 318-25M 22.6.2.1</t>
        </is>
      </c>
      <c r="G214" s="16" t="n"/>
    </row>
    <row r="215">
      <c r="B215" s="12" t="inlineStr">
        <is>
          <t>Depth used for punching</t>
        </is>
      </c>
      <c r="C215" s="13" t="inlineStr">
        <is>
          <t>dp</t>
        </is>
      </c>
      <c r="D215" s="28">
        <f>IF($C$124="Yes",$D$214,$D$214-$D$51)</f>
        <v>705.0</v>
      </c>
      <c r="E215" s="12" t="inlineStr">
        <is>
          <t>mm</t>
        </is>
      </c>
      <c r="F215" s="15" t="inlineStr">
        <is>
          <t>less the overlay unless it is tied to the column</t>
        </is>
      </c>
      <c r="G215" s="16" t="n"/>
    </row>
    <row r="216">
      <c r="B216" s="12" t="inlineStr">
        <is>
          <t>Critical section side parallel to L</t>
        </is>
      </c>
      <c r="C216" s="13" t="inlineStr">
        <is>
          <t>b1</t>
        </is>
      </c>
      <c r="D216" s="28">
        <f>$D$45+$D$215</f>
        <v>1105.0</v>
      </c>
      <c r="E216" s="12" t="inlineStr">
        <is>
          <t>mm</t>
        </is>
      </c>
      <c r="F216" s="15" t="inlineStr">
        <is>
          <t>d/2 from the column faces   ACI 318-25M 22.6.4.1</t>
        </is>
      </c>
      <c r="G216" s="16" t="n"/>
    </row>
    <row r="217">
      <c r="B217" s="12" t="inlineStr">
        <is>
          <t>Critical section side parallel to B</t>
        </is>
      </c>
      <c r="C217" s="13" t="inlineStr">
        <is>
          <t>b2</t>
        </is>
      </c>
      <c r="D217" s="28">
        <f>$D$44+$D$215</f>
        <v>1105.0</v>
      </c>
      <c r="E217" s="12" t="inlineStr">
        <is>
          <t>mm</t>
        </is>
      </c>
      <c r="F217" s="15" t="inlineStr"/>
      <c r="G217" s="16" t="n"/>
    </row>
    <row r="218">
      <c r="B218" s="12" t="inlineStr">
        <is>
          <t>Critical perimeter</t>
        </is>
      </c>
      <c r="C218" s="13" t="inlineStr">
        <is>
          <t>bo</t>
        </is>
      </c>
      <c r="D218" s="28">
        <f>2*($D$216+$D$217)</f>
        <v>4420.0</v>
      </c>
      <c r="E218" s="12" t="inlineStr">
        <is>
          <t>mm</t>
        </is>
      </c>
      <c r="F218" s="15" t="inlineStr"/>
      <c r="G218" s="16" t="n"/>
    </row>
    <row r="219">
      <c r="B219" s="12" t="inlineStr">
        <is>
          <t>Factored shear on the perimeter</t>
        </is>
      </c>
      <c r="C219" s="13" t="inlineStr">
        <is>
          <t>Vu</t>
        </is>
      </c>
      <c r="D219" s="31">
        <f>$D$81-$D$128*MIN($D$216,$D$34)*MIN($D$217,$D$33)/($D$106*1000000)-$D$134*MIN($D$216,$D$104)*MIN($D$217,$D$103)/($D$107*1000000)</f>
        <v>1739.441986607143</v>
      </c>
      <c r="E219" s="12" t="inlineStr">
        <is>
          <t>kN</t>
        </is>
      </c>
      <c r="F219" s="15" t="inlineStr">
        <is>
          <t>Pu less the pressure inside the perimeter, both stages</t>
        </is>
      </c>
      <c r="G219" s="16" t="n"/>
    </row>
    <row r="220">
      <c r="B220" s="12" t="inlineStr">
        <is>
          <t>Shear stress from Vu</t>
        </is>
      </c>
      <c r="C220" s="13" t="inlineStr">
        <is>
          <t>vuv</t>
        </is>
      </c>
      <c r="D220" s="37">
        <f>$D$219*1000/($D$218*$D$215)</f>
        <v>0.5582112212724697</v>
      </c>
      <c r="E220" s="12" t="inlineStr">
        <is>
          <t>MPa</t>
        </is>
      </c>
      <c r="F220" s="15" t="inlineStr">
        <is>
          <t>Vu / (bo d)</t>
        </is>
      </c>
      <c r="G220" s="16" t="n"/>
    </row>
    <row r="221">
      <c r="B221" s="12" t="inlineStr">
        <is>
          <t>Fraction of MuL transferred by shear</t>
        </is>
      </c>
      <c r="C221" s="13" t="inlineStr">
        <is>
          <t>gamma_v</t>
        </is>
      </c>
      <c r="D221" s="29">
        <f>1-1/(1+(2/3)*SQRT($D$216/$D$217))</f>
        <v>0.3999999999999999</v>
      </c>
      <c r="E221" s="12" t="inlineStr"/>
      <c r="F221" s="15" t="inlineStr">
        <is>
          <t>ACI 318-25M Eq. (8.4.2.2.2), Eq. (8.4.4.2.2)</t>
        </is>
      </c>
      <c r="G221" s="16" t="n"/>
    </row>
    <row r="222">
      <c r="B222" s="12" t="inlineStr">
        <is>
          <t>Fraction of MuB transferred by shear</t>
        </is>
      </c>
      <c r="C222" s="13" t="inlineStr">
        <is>
          <t>gamma_v</t>
        </is>
      </c>
      <c r="D222" s="29">
        <f>1-1/(1+(2/3)*SQRT($D$217/$D$216))</f>
        <v>0.3999999999999999</v>
      </c>
      <c r="E222" s="12" t="inlineStr"/>
      <c r="F222" s="15" t="inlineStr"/>
      <c r="G222" s="16" t="n"/>
    </row>
    <row r="223">
      <c r="B223" s="12" t="inlineStr">
        <is>
          <t>Polar property of the section, for MuL</t>
        </is>
      </c>
      <c r="C223" s="13" t="inlineStr">
        <is>
          <t>Jc</t>
        </is>
      </c>
      <c r="D223" s="38">
        <f>$D$215*$D$216^3/6+$D$216*$D$215^3/6+$D$215*$D$217*$D$216^2/2</f>
        <v>698671817187.5</v>
      </c>
      <c r="E223" s="12" t="inlineStr">
        <is>
          <t>mm4</t>
        </is>
      </c>
      <c r="F223" s="15" t="inlineStr">
        <is>
          <t>interior column   ACI 318-25M R8.4.4.2.3</t>
        </is>
      </c>
      <c r="G223" s="16" t="n"/>
    </row>
    <row r="224">
      <c r="B224" s="12" t="inlineStr">
        <is>
          <t>Polar property of the section, for MuB</t>
        </is>
      </c>
      <c r="C224" s="13" t="inlineStr">
        <is>
          <t>Jc</t>
        </is>
      </c>
      <c r="D224" s="38">
        <f>$D$215*$D$217^3/6+$D$217*$D$215^3/6+$D$215*$D$216*$D$217^2/2</f>
        <v>698671817187.5</v>
      </c>
      <c r="E224" s="12" t="inlineStr">
        <is>
          <t>mm4</t>
        </is>
      </c>
      <c r="F224" s="15" t="inlineStr"/>
      <c r="G224" s="16" t="n"/>
    </row>
    <row r="225">
      <c r="B225" s="12" t="inlineStr">
        <is>
          <t>Shear stress from MuL</t>
        </is>
      </c>
      <c r="C225" s="13" t="inlineStr"/>
      <c r="D225" s="37">
        <f>$D$221*ABS($D$82)*1000000*($D$216/2)/$D$223</f>
        <v>0.08224176013182403</v>
      </c>
      <c r="E225" s="12" t="inlineStr">
        <is>
          <t>MPa</t>
        </is>
      </c>
      <c r="F225" s="15" t="inlineStr">
        <is>
          <t>gamma_v Msc c / Jc, Msc = the column moment</t>
        </is>
      </c>
      <c r="G225" s="16" t="n"/>
    </row>
    <row r="226">
      <c r="B226" s="12" t="inlineStr">
        <is>
          <t>Shear stress from MuB</t>
        </is>
      </c>
      <c r="C226" s="13" t="inlineStr"/>
      <c r="D226" s="37">
        <f>$D$222*ABS($D$83)*1000000*($D$217/2)/$D$224</f>
        <v>0.028468301584092935</v>
      </c>
      <c r="E226" s="12" t="inlineStr">
        <is>
          <t>MPa</t>
        </is>
      </c>
      <c r="F226" s="15" t="inlineStr"/>
      <c r="G226" s="16" t="n"/>
    </row>
    <row r="227">
      <c r="B227" s="33" t="inlineStr">
        <is>
          <t>Greatest factored shear stress</t>
        </is>
      </c>
      <c r="C227" s="13" t="inlineStr">
        <is>
          <t>vu</t>
        </is>
      </c>
      <c r="D227" s="39">
        <f>$D$220+$D$225+$D$226</f>
        <v>0.6689212829883867</v>
      </c>
      <c r="E227" s="12" t="inlineStr">
        <is>
          <t>MPa</t>
        </is>
      </c>
      <c r="F227" s="15" t="inlineStr">
        <is>
          <t>both moments added at the corner of the section</t>
        </is>
      </c>
      <c r="G227" s="16" t="n"/>
    </row>
    <row r="228">
      <c r="B228" s="12" t="inlineStr">
        <is>
          <t>Column aspect ratio</t>
        </is>
      </c>
      <c r="C228" s="13" t="inlineStr">
        <is>
          <t>beta</t>
        </is>
      </c>
      <c r="D228" s="29">
        <f>MAX($D$45,$D$44)/MIN($D$45,$D$44)</f>
        <v>1.0</v>
      </c>
      <c r="E228" s="12" t="inlineStr"/>
      <c r="F228" s="15" t="inlineStr"/>
      <c r="G228" s="16" t="n"/>
    </row>
    <row r="229">
      <c r="B229" s="12" t="inlineStr">
        <is>
          <t>(a)  0.33 lambda sqrt(f'c)</t>
        </is>
      </c>
      <c r="C229" s="13" t="inlineStr"/>
      <c r="D229" s="37">
        <f>0.33*$D$59*$D$109</f>
        <v>1.5122499793354272</v>
      </c>
      <c r="E229" s="12" t="inlineStr">
        <is>
          <t>MPa</t>
        </is>
      </c>
      <c r="F229" s="15" t="inlineStr">
        <is>
          <t>ACI 318-25M Table 22.6.5.2</t>
        </is>
      </c>
      <c r="G229" s="16" t="n"/>
    </row>
    <row r="230">
      <c r="B230" s="12" t="inlineStr">
        <is>
          <t>(b)  (0.17 + 0.33/beta) lambda sqrt(f'c)</t>
        </is>
      </c>
      <c r="C230" s="13" t="inlineStr"/>
      <c r="D230" s="37">
        <f>(0.17+0.33/$D$228)*$D$59*$D$109</f>
        <v>2.29128784747792</v>
      </c>
      <c r="E230" s="12" t="inlineStr">
        <is>
          <t>MPa</t>
        </is>
      </c>
      <c r="F230" s="15" t="inlineStr"/>
      <c r="G230" s="16" t="n"/>
    </row>
    <row r="231">
      <c r="B231" s="12" t="inlineStr">
        <is>
          <t>(c)  with 0.17 + 0.083 alpha_s d / bo</t>
        </is>
      </c>
      <c r="C231" s="13" t="inlineStr"/>
      <c r="D231" s="37">
        <f>(0.17+0.083*$D$46*$D$215/$D$218)*$D$59*$D$109</f>
        <v>3.205729422806212</v>
      </c>
      <c r="E231" s="12" t="inlineStr">
        <is>
          <t>MPa</t>
        </is>
      </c>
      <c r="F231" s="15" t="inlineStr">
        <is>
          <t>(0.17 + 0.083 alpha_s d/bo) lambda sqrt(f'c)</t>
        </is>
      </c>
      <c r="G231" s="16" t="n"/>
    </row>
    <row r="232">
      <c r="B232" s="12" t="inlineStr">
        <is>
          <t>Two-way shear strength</t>
        </is>
      </c>
      <c r="C232" s="13" t="inlineStr">
        <is>
          <t>vc</t>
        </is>
      </c>
      <c r="D232" s="37">
        <f>MIN($D$229,$D$230,$D$231)</f>
        <v>1.5122499793354272</v>
      </c>
      <c r="E232" s="12" t="inlineStr">
        <is>
          <t>MPa</t>
        </is>
      </c>
      <c r="F232" s="15" t="inlineStr">
        <is>
          <t>least of (a), (b), (c); lambda_s = 1.0 by 13.2.6.2(b)</t>
        </is>
      </c>
      <c r="G232" s="16" t="n"/>
    </row>
    <row r="233">
      <c r="B233" s="33" t="inlineStr">
        <is>
          <t>Design two-way shear strength</t>
        </is>
      </c>
      <c r="C233" s="13" t="inlineStr">
        <is>
          <t>phi vc</t>
        </is>
      </c>
      <c r="D233" s="39">
        <f>0.75*$D$232</f>
        <v>1.1341874845015703</v>
      </c>
      <c r="E233" s="12" t="inlineStr">
        <is>
          <t>MPa</t>
        </is>
      </c>
      <c r="F233" s="15" t="inlineStr"/>
      <c r="G233" s="16" t="n"/>
    </row>
    <row r="234">
      <c r="B234" s="12" t="inlineStr">
        <is>
          <t>Utilisation</t>
        </is>
      </c>
      <c r="C234" s="13" t="inlineStr">
        <is>
          <t>vu / phi vc</t>
        </is>
      </c>
      <c r="D234" s="23">
        <f>$D$227/$D$233</f>
        <v>0.5897801660916323</v>
      </c>
      <c r="E234" s="12" t="inlineStr"/>
      <c r="F234" s="15" t="inlineStr"/>
      <c r="G234" s="16" t="str">
        <f>IF($D$227&lt;=$D$233,"PASS","FAIL")</f>
        <v>PASS</v>
      </c>
    </row>
    <row r="235" ht="39" customHeight="1">
      <c r="B235" s="22" t="inlineStr">
        <is>
          <t>An overlay cast around a column that is not tied to it does not move the loaded area up: the column still bears on the old footing, so the punching depth is the existing one. Tie the overlay to the column (column jacket, dowels) to count it. ACI 318-25M 22.6 has no composite-member clause; the lesser f'c is used.</t>
        </is>
      </c>
    </row>
    <row r="236">
      <c r="B236" s="11" t="inlineStr">
        <is>
          <t>Minimum reinforcement at the column - ACI 318-25M Eq. (8.6.1.2)</t>
        </is>
      </c>
    </row>
    <row r="237">
      <c r="B237" s="12" t="inlineStr">
        <is>
          <t>Size effect factor</t>
        </is>
      </c>
      <c r="C237" s="13" t="inlineStr">
        <is>
          <t>lambda_s</t>
        </is>
      </c>
      <c r="D237" s="37">
        <f>MIN(1,SQRT(2/(1+$D$215/250)))</f>
        <v>0.7235746052924217</v>
      </c>
      <c r="E237" s="12" t="inlineStr"/>
      <c r="F237" s="15" t="inlineStr">
        <is>
          <t>ACI 318-25M Eq. (22.5.5.1.3)</t>
        </is>
      </c>
      <c r="G237" s="16" t="n"/>
    </row>
    <row r="238">
      <c r="B238" s="12" t="inlineStr">
        <is>
          <t>Shear stress above which it applies</t>
        </is>
      </c>
      <c r="C238" s="13" t="inlineStr"/>
      <c r="D238" s="37">
        <f>0.75*0.17*$D$109*$D$237*$D$59</f>
        <v>0.4227690134617904</v>
      </c>
      <c r="E238" s="12" t="inlineStr">
        <is>
          <t>MPa</t>
        </is>
      </c>
      <c r="F238" s="15" t="inlineStr">
        <is>
          <t>phi 0.17 sqrt(f'c) lambda_s lambda</t>
        </is>
      </c>
      <c r="G238" s="16" t="n"/>
    </row>
    <row r="239">
      <c r="B239" s="12" t="inlineStr">
        <is>
          <t>Eq. (8.6.1.2) applies?</t>
        </is>
      </c>
      <c r="C239" s="16" t="str">
        <f>IF($D$220&gt;$D$238,"Yes","No")</f>
        <v>Yes</v>
      </c>
      <c r="D239" s="32" t="n"/>
      <c r="E239" s="32" t="n"/>
      <c r="F239" s="15" t="inlineStr">
        <is>
          <t>vuv &gt; the stress above</t>
        </is>
      </c>
      <c r="G239" s="16" t="n"/>
    </row>
    <row r="240">
      <c r="B240" s="12" t="inlineStr">
        <is>
          <t>Thickness counted at the column</t>
        </is>
      </c>
      <c r="C240" s="13" t="inlineStr">
        <is>
          <t>h</t>
        </is>
      </c>
      <c r="D240" s="28">
        <f>IF($C$124="Yes",$D$105,$D$35)</f>
        <v>800.0</v>
      </c>
      <c r="E240" s="12" t="inlineStr">
        <is>
          <t>mm</t>
        </is>
      </c>
      <c r="F240" s="15" t="inlineStr"/>
      <c r="G240" s="16" t="n"/>
    </row>
    <row r="241">
      <c r="B241" s="12" t="inlineStr">
        <is>
          <t>Width b,slab for the bars parallel to L</t>
        </is>
      </c>
      <c r="C241" s="13" t="inlineStr">
        <is>
          <t>b,slab</t>
        </is>
      </c>
      <c r="D241" s="28">
        <f>MIN($D$44+3*$D$240,$D$103)</f>
        <v>2800.0</v>
      </c>
      <c r="E241" s="12" t="inlineStr">
        <is>
          <t>mm</t>
        </is>
      </c>
      <c r="F241" s="15" t="inlineStr">
        <is>
          <t>column + 1.5 h each side   ACI 318-25M 8.4.2.2.3</t>
        </is>
      </c>
      <c r="G241" s="16" t="n"/>
    </row>
    <row r="242">
      <c r="B242" s="12" t="inlineStr">
        <is>
          <t>As fy of those bars within b,slab</t>
        </is>
      </c>
      <c r="C242" s="13" t="inlineStr"/>
      <c r="D242" s="31">
        <f>($D$111*$D$37*MIN(1,$D$241/$D$33)+$D$113*$D$53*IF(AND($D$103&gt;$D$33,$D$241&gt;$D$33),($D$241-$D$33)/($D$103-$D$33),0))/1000</f>
        <v>1386.4895577842954</v>
      </c>
      <c r="E242" s="12" t="inlineStr">
        <is>
          <t>kN</t>
        </is>
      </c>
      <c r="F242" s="15" t="inlineStr">
        <is>
          <t>bars taken as evenly spread over their zones</t>
        </is>
      </c>
      <c r="G242" s="16" t="n"/>
    </row>
    <row r="243">
      <c r="B243" s="12" t="inlineStr">
        <is>
          <t>As,min fy required within b,slab</t>
        </is>
      </c>
      <c r="C243" s="13" t="inlineStr"/>
      <c r="D243" s="31">
        <f>IF($C$239="Yes",5*$D$220*$D$241*$D$218/(0.75*$D$46)/1000,0)</f>
        <v>1151.4036790780142</v>
      </c>
      <c r="E243" s="12" t="inlineStr">
        <is>
          <t>kN</t>
        </is>
      </c>
      <c r="F243" s="15" t="inlineStr">
        <is>
          <t>5 vuv b,slab bo / (phi alpha_s)</t>
        </is>
      </c>
      <c r="G243" s="16" t="n"/>
    </row>
    <row r="244">
      <c r="B244" s="12" t="inlineStr">
        <is>
          <t>Required / provided</t>
        </is>
      </c>
      <c r="C244" s="13" t="inlineStr"/>
      <c r="D244" s="23">
        <f>IF($D$242&gt;0,$D$243/$D$242,0)</f>
        <v>0.8304452583963456</v>
      </c>
      <c r="E244" s="12" t="inlineStr"/>
      <c r="F244" s="15" t="inlineStr"/>
      <c r="G244" s="16" t="str">
        <f>IF($C$239="No","N/A",IF($D$242&gt;=$D$243,"PASS","FAIL"))</f>
        <v>PASS</v>
      </c>
    </row>
    <row r="245">
      <c r="B245" s="12" t="inlineStr">
        <is>
          <t>Width b,slab for the bars parallel to B</t>
        </is>
      </c>
      <c r="C245" s="13" t="inlineStr">
        <is>
          <t>b,slab</t>
        </is>
      </c>
      <c r="D245" s="28">
        <f>MIN($D$45+3*$D$240,$D$104)</f>
        <v>2800.0</v>
      </c>
      <c r="E245" s="12" t="inlineStr">
        <is>
          <t>mm</t>
        </is>
      </c>
      <c r="F245" s="15" t="inlineStr">
        <is>
          <t>column + 1.5 h each side   ACI 318-25M 8.4.2.2.3</t>
        </is>
      </c>
      <c r="G245" s="16" t="n"/>
    </row>
    <row r="246">
      <c r="B246" s="12" t="inlineStr">
        <is>
          <t>As fy of those bars within b,slab</t>
        </is>
      </c>
      <c r="C246" s="13" t="inlineStr"/>
      <c r="D246" s="31">
        <f>($D$112*$D$37*MIN(1,$D$245/$D$34)+$D$114*$D$53*IF(AND($D$104&gt;$D$34,$D$245&gt;$D$34),($D$245-$D$34)/($D$104-$D$34),0))/1000</f>
        <v>1209.5131716320705</v>
      </c>
      <c r="E246" s="12" t="inlineStr">
        <is>
          <t>kN</t>
        </is>
      </c>
      <c r="F246" s="15" t="inlineStr">
        <is>
          <t>bars taken as evenly spread over their zones</t>
        </is>
      </c>
      <c r="G246" s="16" t="n"/>
    </row>
    <row r="247">
      <c r="B247" s="12" t="inlineStr">
        <is>
          <t>As,min fy required within b,slab</t>
        </is>
      </c>
      <c r="C247" s="13" t="inlineStr"/>
      <c r="D247" s="31">
        <f>IF($C$239="Yes",5*$D$220*$D$245*$D$218/(0.75*$D$46)/1000,0)</f>
        <v>1151.4036790780142</v>
      </c>
      <c r="E247" s="12" t="inlineStr">
        <is>
          <t>kN</t>
        </is>
      </c>
      <c r="F247" s="15" t="inlineStr">
        <is>
          <t>5 vuv b,slab bo / (phi alpha_s)</t>
        </is>
      </c>
      <c r="G247" s="16" t="n"/>
    </row>
    <row r="248">
      <c r="B248" s="12" t="inlineStr">
        <is>
          <t>Required / provided</t>
        </is>
      </c>
      <c r="C248" s="13" t="inlineStr"/>
      <c r="D248" s="23">
        <f>IF($D$246&gt;0,$D$247/$D$246,0)</f>
        <v>0.9519562962049883</v>
      </c>
      <c r="E248" s="12" t="inlineStr"/>
      <c r="F248" s="15" t="inlineStr"/>
      <c r="G248" s="16" t="str">
        <f>IF($C$239="No","N/A",IF($D$246&gt;=$D$247,"PASS","FAIL"))</f>
        <v>PASS</v>
      </c>
    </row>
    <row r="249" ht="26" customHeight="1">
      <c r="B249" s="22" t="inlineStr">
        <is>
          <t>A lightly reinforced footing punches when the bars near the column yield, below the Table 22.6.5.2 strength. ACI 318-25M 13.2.6.2(b) lifts the size effect from the strength, not from this trigger. Existing bars cannot be added to: if this fails, lower vuv (larger column, or an overlay tied to it).</t>
        </is>
      </c>
    </row>
    <row r="250"/>
    <row r="251" ht="18" customHeight="1">
      <c r="B251" s="10" t="inlineStr">
        <is>
          <t>7.0  WINGS - CANTILEVER FROM THE OLD FOOTING FACE</t>
        </is>
      </c>
    </row>
    <row r="252">
      <c r="B252" s="11" t="inlineStr">
        <is>
          <t>L direction - wings beyond the end faces</t>
        </is>
      </c>
    </row>
    <row r="253">
      <c r="B253" s="12" t="inlineStr">
        <is>
          <t>Wing in this direction?</t>
        </is>
      </c>
      <c r="C253" s="16" t="str">
        <f>IF($D$50&gt;0,"Yes","No")</f>
        <v>Yes</v>
      </c>
      <c r="D253" s="32" t="n"/>
      <c r="E253" s="32" t="n"/>
      <c r="F253" s="15" t="inlineStr"/>
      <c r="G253" s="16" t="n"/>
    </row>
    <row r="254">
      <c r="B254" s="33" t="inlineStr">
        <is>
          <t>Factored shear at the old face</t>
        </is>
      </c>
      <c r="C254" s="13" t="inlineStr">
        <is>
          <t>Vu,w</t>
        </is>
      </c>
      <c r="D254" s="35">
        <f>IF($D$50&gt;0,$D$134*$D$50/$D$104+6*ABS($D$135)*$D$50*($D$104/2+$D$34/2)/$D$104^3*1000,0)</f>
        <v>231.19533527696794</v>
      </c>
      <c r="E254" s="12" t="inlineStr">
        <is>
          <t>kN</t>
        </is>
      </c>
      <c r="F254" s="15" t="inlineStr">
        <is>
          <t>increment only; corners counted in both directions</t>
        </is>
      </c>
      <c r="G254" s="16" t="n"/>
    </row>
    <row r="255">
      <c r="B255" s="33" t="inlineStr">
        <is>
          <t>Factored moment at the old face</t>
        </is>
      </c>
      <c r="C255" s="13" t="inlineStr">
        <is>
          <t>Mu,w</t>
        </is>
      </c>
      <c r="D255" s="35">
        <f>IF($D$50&gt;0,$D$134*$D$50^2/(2*$D$104)/1000+ABS($D$135)*$D$50^2*(4*$D$50+3*$D$34)/$D$104^3,0)</f>
        <v>70.11661807580175</v>
      </c>
      <c r="E255" s="12" t="inlineStr">
        <is>
          <t>kN-m</t>
        </is>
      </c>
      <c r="F255" s="15" t="inlineStr"/>
      <c r="G255" s="16" t="n"/>
    </row>
    <row r="256">
      <c r="B256" s="12" t="inlineStr">
        <is>
          <t>Tension steel crossing the old face</t>
        </is>
      </c>
      <c r="C256" s="13" t="inlineStr">
        <is>
          <t>As,w</t>
        </is>
      </c>
      <c r="D256" s="31">
        <f>$D$115+$D$113</f>
        <v>4712.3889803846905</v>
      </c>
      <c r="E256" s="12" t="inlineStr">
        <is>
          <t>mm2</t>
        </is>
      </c>
      <c r="F256" s="15" t="inlineStr">
        <is>
          <t>bottom-row dowels + the continuous new bars</t>
        </is>
      </c>
      <c r="G256" s="16" t="n"/>
    </row>
    <row r="257">
      <c r="B257" s="12" t="inlineStr">
        <is>
          <t>Depth of the stress block</t>
        </is>
      </c>
      <c r="C257" s="13" t="inlineStr">
        <is>
          <t>a</t>
        </is>
      </c>
      <c r="D257" s="30">
        <f>($D$115*$D$67+$D$113*$D$53)/(0.85*$D$108*$D$103)</f>
        <v>34.23741993801903</v>
      </c>
      <c r="E257" s="12" t="inlineStr">
        <is>
          <t>mm</t>
        </is>
      </c>
      <c r="F257" s="15" t="inlineStr"/>
      <c r="G257" s="16" t="n"/>
    </row>
    <row r="258">
      <c r="B258" s="12" t="inlineStr">
        <is>
          <t>Effective depth</t>
        </is>
      </c>
      <c r="C258" s="13" t="inlineStr">
        <is>
          <t>d,w</t>
        </is>
      </c>
      <c r="D258" s="28">
        <f>IF($D$256&gt;0,($D$115*$D$121+$D$113*$D$119)/$D$256,0)</f>
        <v>707.9999999999999</v>
      </c>
      <c r="E258" s="12" t="inlineStr">
        <is>
          <t>mm</t>
        </is>
      </c>
      <c r="F258" s="15" t="inlineStr"/>
      <c r="G258" s="16" t="n"/>
    </row>
    <row r="259">
      <c r="B259" s="12" t="inlineStr">
        <is>
          <t>Strength reduction factor</t>
        </is>
      </c>
      <c r="C259" s="13" t="inlineStr">
        <is>
          <t>phi</t>
        </is>
      </c>
      <c r="D259" s="29">
        <f>IF($D$256&gt;0,MIN(0.9,MAX(0.65,0.65+0.25*(0.003*(MAX(IF($D$115&gt;0,$D$121,0),IF($D$113&gt;0,$D$119,0))-$D$257/$D$110)/($D$257/$D$110)-MAX(IF($D$115&gt;0,$D$67,0),IF($D$113&gt;0,$D$53,0))/200000)/0.003)),0.9)</f>
        <v>0.9</v>
      </c>
      <c r="E259" s="12" t="inlineStr"/>
      <c r="F259" s="15" t="inlineStr">
        <is>
          <t>ACI 562-25 Table 5.3.2</t>
        </is>
      </c>
      <c r="G259" s="16" t="n"/>
    </row>
    <row r="260">
      <c r="B260" s="12" t="inlineStr">
        <is>
          <t>Every tension layer yields?</t>
        </is>
      </c>
      <c r="C260" s="16" t="str">
        <f>IF($D$256=0,"Yes",IF(AND(OR($D$115=0,0.003*($D$121-$D$257/$D$110)/($D$257/$D$110)&gt;=$D$67/200000),OR($D$113=0,0.003*($D$119-$D$257/$D$110)/($D$257/$D$110)&gt;=$D$53/200000)),"Yes","No"))</f>
        <v>Yes</v>
      </c>
      <c r="D260" s="32" t="n"/>
      <c r="E260" s="32" t="n"/>
      <c r="F260" s="15" t="inlineStr"/>
      <c r="G260" s="16" t="n"/>
    </row>
    <row r="261">
      <c r="B261" s="33" t="inlineStr">
        <is>
          <t>Design moment strength</t>
        </is>
      </c>
      <c r="C261" s="13" t="inlineStr">
        <is>
          <t>phi Mn,w</t>
        </is>
      </c>
      <c r="D261" s="35">
        <f>$D$259*($D$115*$D$67*($D$121-$D$257/2)+$D$113*$D$53*($D$119-$D$257/2))/1000000</f>
        <v>1216.0044646441554</v>
      </c>
      <c r="E261" s="12" t="inlineStr">
        <is>
          <t>kN-m</t>
        </is>
      </c>
      <c r="F261" s="15" t="inlineStr"/>
      <c r="G261" s="16" t="n"/>
    </row>
    <row r="262">
      <c r="B262" s="12" t="inlineStr">
        <is>
          <t>Flexure utilisation</t>
        </is>
      </c>
      <c r="C262" s="13" t="inlineStr">
        <is>
          <t>Mu / phi Mn</t>
        </is>
      </c>
      <c r="D262" s="23">
        <f>IF($D$261&gt;0,$D$255/$D$261,0)</f>
        <v>0.05766148078767151</v>
      </c>
      <c r="E262" s="12" t="inlineStr"/>
      <c r="F262" s="15" t="inlineStr"/>
      <c r="G262" s="16" t="str">
        <f>IF($C$253="No","N/A",IF(AND($C$260="Yes",$D$255&lt;=$D$261),"PASS","FAIL"))</f>
        <v>PASS</v>
      </c>
    </row>
    <row r="263">
      <c r="B263" s="12" t="inlineStr">
        <is>
          <t>As,min / As,w at the old face</t>
        </is>
      </c>
      <c r="C263" s="13" t="inlineStr"/>
      <c r="D263" s="23">
        <f>IF($D$256&gt;0,$D$171/$D$256,0)</f>
        <v>0.9778479703566048</v>
      </c>
      <c r="E263" s="12" t="inlineStr"/>
      <c r="F263" s="15" t="inlineStr">
        <is>
          <t>0.0018 Ag   ACI 318-25M 7.6.1.1, 8.6.1.1</t>
        </is>
      </c>
      <c r="G263" s="16" t="str">
        <f>IF($C$253="No","N/A",IF($D$256&gt;=$D$171,"PASS","FAIL"))</f>
        <v>PASS</v>
      </c>
    </row>
    <row r="264">
      <c r="B264" s="33" t="inlineStr">
        <is>
          <t>Design shear strength of the wing</t>
        </is>
      </c>
      <c r="C264" s="13" t="inlineStr">
        <is>
          <t>phi Vc,w</t>
        </is>
      </c>
      <c r="D264" s="35">
        <f>0.75*0.17*$D$59*$D$109*$D$103*$D$258/1000</f>
        <v>1323.7411455477234</v>
      </c>
      <c r="E264" s="12" t="inlineStr">
        <is>
          <t>kN</t>
        </is>
      </c>
      <c r="F264" s="15" t="inlineStr">
        <is>
          <t>ACI 318-25M 13.2.6.2(a), at the face</t>
        </is>
      </c>
      <c r="G264" s="16" t="n"/>
    </row>
    <row r="265">
      <c r="B265" s="12" t="inlineStr">
        <is>
          <t>Shear utilisation</t>
        </is>
      </c>
      <c r="C265" s="13" t="inlineStr">
        <is>
          <t>Vu / phi Vc</t>
        </is>
      </c>
      <c r="D265" s="23">
        <f>IF($D$264&gt;0,$D$254/$D$264,0)</f>
        <v>0.17465297959089005</v>
      </c>
      <c r="E265" s="12" t="inlineStr"/>
      <c r="F265" s="15" t="inlineStr"/>
      <c r="G265" s="16" t="str">
        <f>IF($C$253="No","N/A",IF($D$254&lt;=$D$264,"PASS","FAIL"))</f>
        <v>PASS</v>
      </c>
    </row>
    <row r="266">
      <c r="B266" s="11" t="inlineStr">
        <is>
          <t>B direction - wings beyond the side faces</t>
        </is>
      </c>
    </row>
    <row r="267">
      <c r="B267" s="12" t="inlineStr">
        <is>
          <t>Wing in this direction?</t>
        </is>
      </c>
      <c r="C267" s="16" t="str">
        <f>IF($D$49&gt;0,"Yes","No")</f>
        <v>Yes</v>
      </c>
      <c r="D267" s="32" t="n"/>
      <c r="E267" s="32" t="n"/>
      <c r="F267" s="15" t="inlineStr"/>
      <c r="G267" s="16" t="n"/>
    </row>
    <row r="268">
      <c r="B268" s="33" t="inlineStr">
        <is>
          <t>Factored shear at the old face</t>
        </is>
      </c>
      <c r="C268" s="13" t="inlineStr">
        <is>
          <t>Vu,w</t>
        </is>
      </c>
      <c r="D268" s="35">
        <f>IF($D$49&gt;0,$D$134*$D$49/$D$103+6*ABS($D$136)*$D$49*($D$103/2+$D$33/2)/$D$103^3*1000,0)</f>
        <v>269.4580078125</v>
      </c>
      <c r="E268" s="12" t="inlineStr">
        <is>
          <t>kN</t>
        </is>
      </c>
      <c r="F268" s="15" t="inlineStr">
        <is>
          <t>increment only; corners counted in both directions</t>
        </is>
      </c>
      <c r="G268" s="16" t="n"/>
    </row>
    <row r="269">
      <c r="B269" s="33" t="inlineStr">
        <is>
          <t>Factored moment at the old face</t>
        </is>
      </c>
      <c r="C269" s="13" t="inlineStr">
        <is>
          <t>Mu,w</t>
        </is>
      </c>
      <c r="D269" s="35">
        <f>IF($D$49&gt;0,$D$134*$D$49^2/(2*$D$103)/1000+ABS($D$136)*$D$49^2*(4*$D$49+3*$D$33)/$D$103^3,0)</f>
        <v>81.4306640625</v>
      </c>
      <c r="E269" s="12" t="inlineStr">
        <is>
          <t>kN-m</t>
        </is>
      </c>
      <c r="F269" s="15" t="inlineStr"/>
      <c r="G269" s="16" t="n"/>
    </row>
    <row r="270">
      <c r="B270" s="12" t="inlineStr">
        <is>
          <t>Tension steel crossing the old face</t>
        </is>
      </c>
      <c r="C270" s="13" t="inlineStr">
        <is>
          <t>As,w</t>
        </is>
      </c>
      <c r="D270" s="31">
        <f>$D$116+$D$114</f>
        <v>6283.185307179587</v>
      </c>
      <c r="E270" s="12" t="inlineStr">
        <is>
          <t>mm2</t>
        </is>
      </c>
      <c r="F270" s="15" t="inlineStr">
        <is>
          <t>bottom-row dowels + the continuous new bars</t>
        </is>
      </c>
      <c r="G270" s="16" t="n"/>
    </row>
    <row r="271">
      <c r="B271" s="12" t="inlineStr">
        <is>
          <t>Depth of the stress block</t>
        </is>
      </c>
      <c r="C271" s="13" t="inlineStr">
        <is>
          <t>a</t>
        </is>
      </c>
      <c r="D271" s="30">
        <f>($D$116*$D$67+$D$114*$D$53)/(0.85*$D$108*$D$104)</f>
        <v>34.78087104814631</v>
      </c>
      <c r="E271" s="12" t="inlineStr">
        <is>
          <t>mm</t>
        </is>
      </c>
      <c r="F271" s="15" t="inlineStr"/>
      <c r="G271" s="16" t="n"/>
    </row>
    <row r="272">
      <c r="B272" s="12" t="inlineStr">
        <is>
          <t>Effective depth</t>
        </is>
      </c>
      <c r="C272" s="13" t="inlineStr">
        <is>
          <t>d,w</t>
        </is>
      </c>
      <c r="D272" s="28">
        <f>IF($D$270&gt;0,($D$116*$D$121+$D$114*$D$120)/$D$270,0)</f>
        <v>697.5</v>
      </c>
      <c r="E272" s="12" t="inlineStr">
        <is>
          <t>mm</t>
        </is>
      </c>
      <c r="F272" s="15" t="inlineStr"/>
      <c r="G272" s="16" t="n"/>
    </row>
    <row r="273">
      <c r="B273" s="12" t="inlineStr">
        <is>
          <t>Strength reduction factor</t>
        </is>
      </c>
      <c r="C273" s="13" t="inlineStr">
        <is>
          <t>phi</t>
        </is>
      </c>
      <c r="D273" s="29">
        <f>IF($D$270&gt;0,MIN(0.9,MAX(0.65,0.65+0.25*(0.003*(MAX(IF($D$116&gt;0,$D$121,0),IF($D$114&gt;0,$D$120,0))-$D$271/$D$110)/($D$271/$D$110)-MAX(IF($D$116&gt;0,$D$67,0),IF($D$114&gt;0,$D$53,0))/200000)/0.003)),0.9)</f>
        <v>0.9</v>
      </c>
      <c r="E273" s="12" t="inlineStr"/>
      <c r="F273" s="15" t="inlineStr">
        <is>
          <t>ACI 562-25 Table 5.3.2</t>
        </is>
      </c>
      <c r="G273" s="16" t="n"/>
    </row>
    <row r="274">
      <c r="B274" s="12" t="inlineStr">
        <is>
          <t>Every tension layer yields?</t>
        </is>
      </c>
      <c r="C274" s="16" t="str">
        <f>IF($D$270=0,"Yes",IF(AND(OR($D$116=0,0.003*($D$121-$D$271/$D$110)/($D$271/$D$110)&gt;=$D$67/200000),OR($D$114=0,0.003*($D$120-$D$271/$D$110)/($D$271/$D$110)&gt;=$D$53/200000)),"Yes","No"))</f>
        <v>Yes</v>
      </c>
      <c r="D274" s="32" t="n"/>
      <c r="E274" s="32" t="n"/>
      <c r="F274" s="15" t="inlineStr"/>
      <c r="G274" s="16" t="n"/>
    </row>
    <row r="275">
      <c r="B275" s="33" t="inlineStr">
        <is>
          <t>Design moment strength</t>
        </is>
      </c>
      <c r="C275" s="13" t="inlineStr">
        <is>
          <t>phi Mn,w</t>
        </is>
      </c>
      <c r="D275" s="35">
        <f>$D$273*($D$116*$D$67*($D$121-$D$271/2)+$D$114*$D$53*($D$120-$D$271/2))/1000000</f>
        <v>1596.0605269111134</v>
      </c>
      <c r="E275" s="12" t="inlineStr">
        <is>
          <t>kN-m</t>
        </is>
      </c>
      <c r="F275" s="15" t="inlineStr"/>
      <c r="G275" s="16" t="n"/>
    </row>
    <row r="276">
      <c r="B276" s="12" t="inlineStr">
        <is>
          <t>Flexure utilisation</t>
        </is>
      </c>
      <c r="C276" s="13" t="inlineStr">
        <is>
          <t>Mu / phi Mn</t>
        </is>
      </c>
      <c r="D276" s="23">
        <f>IF($D$275&gt;0,$D$269/$D$275,0)</f>
        <v>0.051019784456479436</v>
      </c>
      <c r="E276" s="12" t="inlineStr"/>
      <c r="F276" s="15" t="inlineStr"/>
      <c r="G276" s="16" t="str">
        <f>IF($C$267="No","N/A",IF(AND($C$274="Yes",$D$269&lt;=$D$275),"PASS","FAIL"))</f>
        <v>PASS</v>
      </c>
    </row>
    <row r="277">
      <c r="B277" s="12" t="inlineStr">
        <is>
          <t>As,min / As,w at the old face</t>
        </is>
      </c>
      <c r="C277" s="13" t="inlineStr"/>
      <c r="D277" s="23">
        <f>IF($D$270&gt;0,$D$189/$D$270,0)</f>
        <v>0.962569095819783</v>
      </c>
      <c r="E277" s="12" t="inlineStr"/>
      <c r="F277" s="15" t="inlineStr">
        <is>
          <t>0.0018 Ag   ACI 318-25M 7.6.1.1, 8.6.1.1</t>
        </is>
      </c>
      <c r="G277" s="16" t="str">
        <f>IF($C$267="No","N/A",IF($D$270&gt;=$D$189,"PASS","FAIL"))</f>
        <v>PASS</v>
      </c>
    </row>
    <row r="278">
      <c r="B278" s="33" t="inlineStr">
        <is>
          <t>Design shear strength of the wing</t>
        </is>
      </c>
      <c r="C278" s="13" t="inlineStr">
        <is>
          <t>phi Vc,w</t>
        </is>
      </c>
      <c r="D278" s="35">
        <f>0.75*0.17*$D$59*$D$109*$D$104*$D$272/1000</f>
        <v>1711.6435760425745</v>
      </c>
      <c r="E278" s="12" t="inlineStr">
        <is>
          <t>kN</t>
        </is>
      </c>
      <c r="F278" s="15" t="inlineStr">
        <is>
          <t>ACI 318-25M 13.2.6.2(a), at the face</t>
        </is>
      </c>
      <c r="G278" s="16" t="n"/>
    </row>
    <row r="279">
      <c r="B279" s="12" t="inlineStr">
        <is>
          <t>Shear utilisation</t>
        </is>
      </c>
      <c r="C279" s="13" t="inlineStr">
        <is>
          <t>Vu / phi Vc</t>
        </is>
      </c>
      <c r="D279" s="23">
        <f>IF($D$278&gt;0,$D$268/$D$278,0)</f>
        <v>0.1574264710153638</v>
      </c>
      <c r="E279" s="12" t="inlineStr"/>
      <c r="F279" s="15" t="inlineStr"/>
      <c r="G279" s="16" t="str">
        <f>IF($C$267="No","N/A",IF($D$268&lt;=$D$278,"PASS","FAIL"))</f>
        <v>PASS</v>
      </c>
    </row>
    <row r="280" ht="39" customHeight="1">
      <c r="B280" s="22" t="inlineStr">
        <is>
          <t>The wing shear is taken at the old face, not at d from it: the reaction there is a shear across a joint and puts no compression into the end of the wing (ACI 318-25M 7.4.3.2). The existing bars stop at the old face: its tension is carried by the bottom dowels and the new bars alone (ACI 562-25 9.4.5.2), and only if the dowels are developed on both sides - see 10.0.</t>
        </is>
      </c>
    </row>
    <row r="281"/>
    <row r="282" ht="18" customHeight="1">
      <c r="B282" s="10" t="inlineStr">
        <is>
          <t>8.0  SHEAR FRICTION ON THE OLD FACES  (ACI 318-25M 22.9.4)</t>
        </is>
      </c>
    </row>
    <row r="283">
      <c r="B283" s="12" t="inlineStr">
        <is>
          <t>Surface preparation</t>
        </is>
      </c>
      <c r="C283" s="13" t="inlineStr"/>
      <c r="D283" s="21" t="str">
        <f>""</f>
        <v/>
      </c>
      <c r="E283" s="12" t="inlineStr"/>
      <c r="F283" s="15" t="inlineStr">
        <is>
          <t>ACI 562-25 9.4.4.3: an intentionally roughened substrate</t>
        </is>
      </c>
      <c r="G283" s="16" t="str">
        <f>IF(OR($D$61="roughened",AND($C$122="No",$C$123="No")),"PASS","FAIL")</f>
        <v>PASS</v>
      </c>
    </row>
    <row r="284">
      <c r="B284" s="12" t="inlineStr">
        <is>
          <t>Coefficient of friction</t>
        </is>
      </c>
      <c r="C284" s="13" t="inlineStr">
        <is>
          <t>mu</t>
        </is>
      </c>
      <c r="D284" s="30">
        <f>IF($D$61="roughened",IF($D$59&gt;=1,$D$59,MIN($D$59,0.85)),0.6)</f>
        <v>1</v>
      </c>
      <c r="E284" s="12" t="inlineStr"/>
      <c r="F284" s="15" t="inlineStr">
        <is>
          <t>ACI 318-25M Table 22.9.4.2: (b) 1.0 lambda, (c) 0.6</t>
        </is>
      </c>
      <c r="G284" s="16" t="n"/>
    </row>
    <row r="285">
      <c r="B285" s="12" t="inlineStr">
        <is>
          <t>Yield used for shear friction</t>
        </is>
      </c>
      <c r="C285" s="13" t="inlineStr">
        <is>
          <t>fy</t>
        </is>
      </c>
      <c r="D285" s="40">
        <f>MIN($D$67,420)</f>
        <v>415</v>
      </c>
      <c r="E285" s="12" t="inlineStr">
        <is>
          <t>MPa</t>
        </is>
      </c>
      <c r="F285" s="15" t="inlineStr">
        <is>
          <t>fy &lt;= 420 MPa   ACI 318-25M Table 20.2.2.4(a)</t>
        </is>
      </c>
      <c r="G285" s="16" t="n"/>
    </row>
    <row r="286">
      <c r="B286" s="12" t="inlineStr">
        <is>
          <t>Upper limit on Vn / Ac</t>
        </is>
      </c>
      <c r="C286" s="13" t="inlineStr"/>
      <c r="D286" s="30">
        <f>IF(AND($D$61="roughened",$D$59&gt;=1),MIN(0.2*$D$108,3.3+0.08*$D$108,11),MIN(0.2*$D$108,5.5))</f>
        <v>4.2</v>
      </c>
      <c r="E286" s="12" t="inlineStr">
        <is>
          <t>MPa</t>
        </is>
      </c>
      <c r="F286" s="15" t="inlineStr">
        <is>
          <t>ACI 318-25M Table 22.9.4.4, lesser f'c</t>
        </is>
      </c>
      <c r="G286" s="16" t="n"/>
    </row>
    <row r="287">
      <c r="B287" s="11" t="inlineStr">
        <is>
          <t>Each end face - carries the L-direction wing</t>
        </is>
      </c>
    </row>
    <row r="288">
      <c r="B288" s="33" t="inlineStr">
        <is>
          <t>Factored shear on the face</t>
        </is>
      </c>
      <c r="C288" s="13" t="inlineStr">
        <is>
          <t>Vu</t>
        </is>
      </c>
      <c r="D288" s="35">
        <f>SQRT($D$254^2+(2*$D$188)^2)</f>
        <v>231.19533527696794</v>
      </c>
      <c r="E288" s="12" t="inlineStr">
        <is>
          <t>kN</t>
        </is>
      </c>
      <c r="F288" s="15" t="inlineStr">
        <is>
          <t>resultant of the wing shear Vu,w and 2 N along the face</t>
        </is>
      </c>
      <c r="G288" s="16" t="n"/>
    </row>
    <row r="289">
      <c r="B289" s="12" t="inlineStr">
        <is>
          <t>Dowels crossing the face</t>
        </is>
      </c>
      <c r="C289" s="13" t="inlineStr">
        <is>
          <t>Avf</t>
        </is>
      </c>
      <c r="D289" s="31">
        <f>$D$62*(PI()*$D$66^2/4)</f>
        <v>4398.229715025711</v>
      </c>
      <c r="E289" s="12" t="inlineStr">
        <is>
          <t>mm2</t>
        </is>
      </c>
      <c r="F289" s="15" t="inlineStr"/>
      <c r="G289" s="16" t="n"/>
    </row>
    <row r="290">
      <c r="B290" s="12" t="inlineStr">
        <is>
          <t>Area of the face</t>
        </is>
      </c>
      <c r="C290" s="13" t="inlineStr">
        <is>
          <t>Ac</t>
        </is>
      </c>
      <c r="D290" s="41">
        <f>$D$33*$D$35</f>
        <v>1200000.0</v>
      </c>
      <c r="E290" s="12" t="inlineStr">
        <is>
          <t>mm2</t>
        </is>
      </c>
      <c r="F290" s="15" t="inlineStr">
        <is>
          <t>old footing face</t>
        </is>
      </c>
      <c r="G290" s="16" t="n"/>
    </row>
    <row r="291">
      <c r="B291" s="12" t="inlineStr">
        <is>
          <t>Nominal strength, uncapped</t>
        </is>
      </c>
      <c r="C291" s="13" t="inlineStr">
        <is>
          <t>Vn</t>
        </is>
      </c>
      <c r="D291" s="31">
        <f>$D$284*$D$289*$D$285/1000</f>
        <v>1825.26533173567</v>
      </c>
      <c r="E291" s="12" t="inlineStr">
        <is>
          <t>kN</t>
        </is>
      </c>
      <c r="F291" s="15" t="inlineStr">
        <is>
          <t>mu Avf fy   ACI 318-25M Eq. (22.9.4.2), Nu = 0</t>
        </is>
      </c>
      <c r="G291" s="16" t="n"/>
    </row>
    <row r="292">
      <c r="B292" s="12" t="inlineStr">
        <is>
          <t>Upper limit</t>
        </is>
      </c>
      <c r="C292" s="13" t="inlineStr">
        <is>
          <t>Vn,max</t>
        </is>
      </c>
      <c r="D292" s="31">
        <f>$D$286*$D$290/1000</f>
        <v>5040.0</v>
      </c>
      <c r="E292" s="12" t="inlineStr">
        <is>
          <t>kN</t>
        </is>
      </c>
      <c r="F292" s="15" t="inlineStr"/>
      <c r="G292" s="16" t="n"/>
    </row>
    <row r="293">
      <c r="B293" s="12" t="inlineStr">
        <is>
          <t>Nominal strength</t>
        </is>
      </c>
      <c r="C293" s="13" t="inlineStr">
        <is>
          <t>Vn</t>
        </is>
      </c>
      <c r="D293" s="31">
        <f>MIN($D$291,$D$292)</f>
        <v>1825.26533173567</v>
      </c>
      <c r="E293" s="12" t="inlineStr">
        <is>
          <t>kN</t>
        </is>
      </c>
      <c r="F293" s="15" t="inlineStr"/>
      <c r="G293" s="16" t="str">
        <f>IF($D$291&gt;$D$292,"CAPPED","")</f>
        <v/>
      </c>
    </row>
    <row r="294">
      <c r="B294" s="33" t="inlineStr">
        <is>
          <t>Design strength</t>
        </is>
      </c>
      <c r="C294" s="13" t="inlineStr">
        <is>
          <t>phi Vn</t>
        </is>
      </c>
      <c r="D294" s="35">
        <f>0.75*$D$293</f>
        <v>1368.9489988017526</v>
      </c>
      <c r="E294" s="12" t="inlineStr">
        <is>
          <t>kN</t>
        </is>
      </c>
      <c r="F294" s="15" t="inlineStr">
        <is>
          <t>phi = 0.75   ACI 562-25 Table 5.3.2</t>
        </is>
      </c>
      <c r="G294" s="16" t="n"/>
    </row>
    <row r="295">
      <c r="B295" s="12" t="inlineStr">
        <is>
          <t>Utilisation</t>
        </is>
      </c>
      <c r="C295" s="13" t="inlineStr">
        <is>
          <t>Vu / phi Vn</t>
        </is>
      </c>
      <c r="D295" s="23">
        <f>IF($D$294&gt;0,$D$288/$D$294,0)</f>
        <v>0.16888528022543883</v>
      </c>
      <c r="E295" s="12" t="inlineStr"/>
      <c r="F295" s="15" t="inlineStr"/>
      <c r="G295" s="16" t="str">
        <f>IF($C$253="No","N/A",IF($D$288&lt;=$D$294,"PASS","FAIL"))</f>
        <v>PASS</v>
      </c>
    </row>
    <row r="296">
      <c r="B296" s="12" t="inlineStr">
        <is>
          <t>Dowel area required</t>
        </is>
      </c>
      <c r="C296" s="13" t="inlineStr">
        <is>
          <t>Avf,req</t>
        </is>
      </c>
      <c r="D296" s="31">
        <f>IF($C$253="Yes",$D$288*1000/(0.75*$D$284*$D$285),0)</f>
        <v>742.7962579179692</v>
      </c>
      <c r="E296" s="12" t="inlineStr">
        <is>
          <t>mm2</t>
        </is>
      </c>
      <c r="F296" s="15" t="inlineStr">
        <is>
          <t>Vu / (phi mu fy)</t>
        </is>
      </c>
      <c r="G296" s="16" t="n"/>
    </row>
    <row r="297">
      <c r="B297" s="11" t="inlineStr">
        <is>
          <t>Each side face - carries the B-direction wing</t>
        </is>
      </c>
    </row>
    <row r="298">
      <c r="B298" s="33" t="inlineStr">
        <is>
          <t>Factored shear on the face</t>
        </is>
      </c>
      <c r="C298" s="13" t="inlineStr">
        <is>
          <t>Vu</t>
        </is>
      </c>
      <c r="D298" s="35">
        <f>SQRT($D$268^2+(2*$D$170)^2)</f>
        <v>269.4580078125</v>
      </c>
      <c r="E298" s="12" t="inlineStr">
        <is>
          <t>kN</t>
        </is>
      </c>
      <c r="F298" s="15" t="inlineStr">
        <is>
          <t>resultant of the wing shear Vu,w and 2 N along the face</t>
        </is>
      </c>
      <c r="G298" s="16" t="n"/>
    </row>
    <row r="299">
      <c r="B299" s="12" t="inlineStr">
        <is>
          <t>Dowels crossing the face</t>
        </is>
      </c>
      <c r="C299" s="13" t="inlineStr">
        <is>
          <t>Avf</t>
        </is>
      </c>
      <c r="D299" s="31">
        <f>$D$64*(PI()*$D$66^2/4)</f>
        <v>6283.185307179587</v>
      </c>
      <c r="E299" s="12" t="inlineStr">
        <is>
          <t>mm2</t>
        </is>
      </c>
      <c r="F299" s="15" t="inlineStr"/>
      <c r="G299" s="16" t="n"/>
    </row>
    <row r="300">
      <c r="B300" s="12" t="inlineStr">
        <is>
          <t>Area of the face</t>
        </is>
      </c>
      <c r="C300" s="13" t="inlineStr">
        <is>
          <t>Ac</t>
        </is>
      </c>
      <c r="D300" s="41">
        <f>$D$34*$D$35</f>
        <v>1800000.0</v>
      </c>
      <c r="E300" s="12" t="inlineStr">
        <is>
          <t>mm2</t>
        </is>
      </c>
      <c r="F300" s="15" t="inlineStr">
        <is>
          <t>old footing face</t>
        </is>
      </c>
      <c r="G300" s="16" t="n"/>
    </row>
    <row r="301">
      <c r="B301" s="12" t="inlineStr">
        <is>
          <t>Nominal strength, uncapped</t>
        </is>
      </c>
      <c r="C301" s="13" t="inlineStr">
        <is>
          <t>Vn</t>
        </is>
      </c>
      <c r="D301" s="31">
        <f>$D$284*$D$299*$D$285/1000</f>
        <v>2607.5219024795283</v>
      </c>
      <c r="E301" s="12" t="inlineStr">
        <is>
          <t>kN</t>
        </is>
      </c>
      <c r="F301" s="15" t="inlineStr">
        <is>
          <t>mu Avf fy   ACI 318-25M Eq. (22.9.4.2), Nu = 0</t>
        </is>
      </c>
      <c r="G301" s="16" t="n"/>
    </row>
    <row r="302">
      <c r="B302" s="12" t="inlineStr">
        <is>
          <t>Upper limit</t>
        </is>
      </c>
      <c r="C302" s="13" t="inlineStr">
        <is>
          <t>Vn,max</t>
        </is>
      </c>
      <c r="D302" s="31">
        <f>$D$286*$D$300/1000</f>
        <v>7560.0</v>
      </c>
      <c r="E302" s="12" t="inlineStr">
        <is>
          <t>kN</t>
        </is>
      </c>
      <c r="F302" s="15" t="inlineStr"/>
      <c r="G302" s="16" t="n"/>
    </row>
    <row r="303">
      <c r="B303" s="12" t="inlineStr">
        <is>
          <t>Nominal strength</t>
        </is>
      </c>
      <c r="C303" s="13" t="inlineStr">
        <is>
          <t>Vn</t>
        </is>
      </c>
      <c r="D303" s="31">
        <f>MIN($D$301,$D$302)</f>
        <v>2607.5219024795283</v>
      </c>
      <c r="E303" s="12" t="inlineStr">
        <is>
          <t>kN</t>
        </is>
      </c>
      <c r="F303" s="15" t="inlineStr"/>
      <c r="G303" s="16" t="str">
        <f>IF($D$301&gt;$D$302,"CAPPED","")</f>
        <v/>
      </c>
    </row>
    <row r="304">
      <c r="B304" s="33" t="inlineStr">
        <is>
          <t>Design strength</t>
        </is>
      </c>
      <c r="C304" s="13" t="inlineStr">
        <is>
          <t>phi Vn</t>
        </is>
      </c>
      <c r="D304" s="35">
        <f>0.75*$D$303</f>
        <v>1955.6414268596463</v>
      </c>
      <c r="E304" s="12" t="inlineStr">
        <is>
          <t>kN</t>
        </is>
      </c>
      <c r="F304" s="15" t="inlineStr">
        <is>
          <t>phi = 0.75   ACI 562-25 Table 5.3.2</t>
        </is>
      </c>
      <c r="G304" s="16" t="n"/>
    </row>
    <row r="305">
      <c r="B305" s="12" t="inlineStr">
        <is>
          <t>Utilisation</t>
        </is>
      </c>
      <c r="C305" s="13" t="inlineStr">
        <is>
          <t>Vu / phi Vn</t>
        </is>
      </c>
      <c r="D305" s="23">
        <f>IF($D$304&gt;0,$D$298/$D$304,0)</f>
        <v>0.13778497638250256</v>
      </c>
      <c r="E305" s="12" t="inlineStr"/>
      <c r="F305" s="15" t="inlineStr"/>
      <c r="G305" s="16" t="str">
        <f>IF($C$267="No","N/A",IF($D$298&lt;=$D$304,"PASS","FAIL"))</f>
        <v>PASS</v>
      </c>
    </row>
    <row r="306">
      <c r="B306" s="12" t="inlineStr">
        <is>
          <t>Dowel area required</t>
        </is>
      </c>
      <c r="C306" s="13" t="inlineStr">
        <is>
          <t>Avf,req</t>
        </is>
      </c>
      <c r="D306" s="31">
        <f>IF($C$267="Yes",$D$298*1000/(0.75*$D$284*$D$285),0)</f>
        <v>865.7285391566265</v>
      </c>
      <c r="E306" s="12" t="inlineStr">
        <is>
          <t>mm2</t>
        </is>
      </c>
      <c r="F306" s="15" t="inlineStr">
        <is>
          <t>Vu / (phi mu fy)</t>
        </is>
      </c>
      <c r="G306" s="16" t="n"/>
    </row>
    <row r="307" ht="26" customHeight="1">
      <c r="B307" s="22" t="inlineStr">
        <is>
          <t>ACI 562-25 9.3.3 and 9.4.4 send the interface to the design-basis code. Dowels in the flexural tension zone serve both the moment and the shear friction (ACI 318-25M R22.9.4.5). Any shear carried by the overlay above the old footing is neglected.</t>
        </is>
      </c>
    </row>
    <row r="308" ht="39" customHeight="1">
      <c r="B308" s="22" t="inlineStr">
        <is>
          <t>N is the part of a wing's bar force that its own share of the stress block does not balance (4.0). Without an overlay it crosses the old face beside that wing as a shear along the face - each half of the face takes half of Vu,w and one N, resolved into one shear (ACI 318-25M 22.3.3.1; ACI 562-25 R9.4.5.3). With an overlay the transfer is the horizontal one of 9.0. An unroughened surface is calculated for assessment only.</t>
        </is>
      </c>
    </row>
    <row r="309"/>
    <row r="310" ht="18" customHeight="1">
      <c r="B310" s="10" t="inlineStr">
        <is>
          <t>9.0  OVERLAY - HORIZONTAL SHEAR  (ACI 318-25M 16.4)</t>
        </is>
      </c>
    </row>
    <row r="311">
      <c r="B311" s="12" t="inlineStr">
        <is>
          <t>Ties across the contact surface?</t>
        </is>
      </c>
      <c r="C311" s="16" t="str">
        <f>IF(AND($C$123="Yes",$D$69&gt;0,$D$70&gt;0),"Yes","No")</f>
        <v>Yes</v>
      </c>
      <c r="D311" s="32" t="n"/>
      <c r="E311" s="32" t="n"/>
      <c r="F311" s="15" t="inlineStr"/>
      <c r="G311" s="16" t="n"/>
    </row>
    <row r="312">
      <c r="B312" s="12" t="inlineStr">
        <is>
          <t>Tie area per unit contact area</t>
        </is>
      </c>
      <c r="C312" s="13" t="inlineStr">
        <is>
          <t>Avf/(bv s)</t>
        </is>
      </c>
      <c r="D312" s="42">
        <f>IF($C$311="Yes",(PI()*$D$69^2/4)/$D$70^2,0)</f>
        <v>0.0012566370614359172</v>
      </c>
      <c r="E312" s="12" t="inlineStr"/>
      <c r="F312" s="15" t="inlineStr"/>
      <c r="G312" s="16" t="n"/>
    </row>
    <row r="313">
      <c r="B313" s="12" t="inlineStr">
        <is>
          <t>Tie yield used</t>
        </is>
      </c>
      <c r="C313" s="13" t="inlineStr">
        <is>
          <t>fyt</t>
        </is>
      </c>
      <c r="D313" s="40">
        <f>IF($C$311="Yes",MIN($D$71,420),0)</f>
        <v>415</v>
      </c>
      <c r="E313" s="12" t="inlineStr">
        <is>
          <t>MPa</t>
        </is>
      </c>
      <c r="F313" s="15" t="inlineStr">
        <is>
          <t>fyt &lt;= 420 MPa   ACI 318-25M Table 20.2.2.4(a)</t>
        </is>
      </c>
      <c r="G313" s="16" t="n"/>
    </row>
    <row r="314">
      <c r="B314" s="12" t="inlineStr">
        <is>
          <t>Minimum</t>
        </is>
      </c>
      <c r="C314" s="13" t="inlineStr"/>
      <c r="D314" s="42">
        <f>IF($C$311="Yes",0.35/$D$313,0)</f>
        <v>0.0008433734939759036</v>
      </c>
      <c r="E314" s="12" t="inlineStr"/>
      <c r="F314" s="15" t="inlineStr">
        <is>
          <t>Avf,min = 0.35 bv s / fy   ACI 318-25M 16.4.6.1</t>
        </is>
      </c>
      <c r="G314" s="16" t="n"/>
    </row>
    <row r="315">
      <c r="B315" s="12" t="inlineStr">
        <is>
          <t>Ties meet the minimum?</t>
        </is>
      </c>
      <c r="C315" s="16" t="str">
        <f>IF(AND($C$311="Yes",$D$312&gt;=$D$314),"Yes","No")</f>
        <v>Yes</v>
      </c>
      <c r="D315" s="32" t="n"/>
      <c r="E315" s="32" t="n"/>
      <c r="F315" s="15" t="inlineStr">
        <is>
          <t>needed for rows (b), (c) and (d)</t>
        </is>
      </c>
      <c r="G315" s="16" t="n"/>
    </row>
    <row r="316">
      <c r="B316" s="12" t="inlineStr">
        <is>
          <t>Transfer by bond alone permitted?</t>
        </is>
      </c>
      <c r="C316" s="16" t="str">
        <f>IF(OR($C$122="No",$C$315="Yes"),"Yes","No")</f>
        <v>Yes</v>
      </c>
      <c r="D316" s="32" t="n"/>
      <c r="E316" s="32" t="n"/>
      <c r="F316" s="15" t="inlineStr">
        <is>
          <t>ACI 318-25M 16.4.1.2: wings can lift the overlay</t>
        </is>
      </c>
      <c r="G316" s="16" t="n"/>
    </row>
    <row r="317">
      <c r="B317" s="12" t="inlineStr">
        <is>
          <t>(a)  cementitious bond</t>
        </is>
      </c>
      <c r="C317" s="13" t="inlineStr"/>
      <c r="D317" s="29">
        <f>IF(AND($D$61="roughened",$C$316="Yes"),0.55,0)</f>
        <v>0.55</v>
      </c>
      <c r="E317" s="12" t="inlineStr">
        <is>
          <t>MPa</t>
        </is>
      </c>
      <c r="F317" s="15" t="inlineStr">
        <is>
          <t>0.55 bv d   ACI 318-25M Table 16.4.4.1</t>
        </is>
      </c>
      <c r="G317" s="16" t="n"/>
    </row>
    <row r="318">
      <c r="B318" s="12" t="inlineStr">
        <is>
          <t>(c)  roughened, with minimum ties</t>
        </is>
      </c>
      <c r="C318" s="13" t="inlineStr"/>
      <c r="D318" s="29">
        <f>IF(AND($D$61="roughened",$C$315="Yes"),MIN($D$59*(1.8+0.6*$D$312*$D$313),3.5),0)</f>
        <v>2.1129026282975434</v>
      </c>
      <c r="E318" s="12" t="inlineStr">
        <is>
          <t>MPa</t>
        </is>
      </c>
      <c r="F318" s="15" t="inlineStr">
        <is>
          <t>lambda (1.8 + 0.6 Avf fyt/(bv s)) &lt;= 3.5</t>
        </is>
      </c>
      <c r="G318" s="16" t="n"/>
    </row>
    <row r="319">
      <c r="B319" s="12" t="inlineStr">
        <is>
          <t>(b), (d)  shear friction over d</t>
        </is>
      </c>
      <c r="C319" s="13" t="inlineStr"/>
      <c r="D319" s="29">
        <f>IF($C$315="Yes",MIN($D$284*$D$312*$D$313,$D$286),0)</f>
        <v>0.5215043804959056</v>
      </c>
      <c r="E319" s="12" t="inlineStr">
        <is>
          <t>MPa</t>
        </is>
      </c>
      <c r="F319" s="15" t="inlineStr">
        <is>
          <t>22.9 with Ac = bv d   ACI 318-25M Table 16.4.4.1</t>
        </is>
      </c>
      <c r="G319" s="16" t="n"/>
    </row>
    <row r="320">
      <c r="B320" s="33" t="inlineStr">
        <is>
          <t>Nominal horizontal shear stress</t>
        </is>
      </c>
      <c r="C320" s="13" t="inlineStr">
        <is>
          <t>vnh</t>
        </is>
      </c>
      <c r="D320" s="23">
        <f>IF($C$123="Yes",MAX($D$317,$D$318,$D$319),0)</f>
        <v>2.1129026282975434</v>
      </c>
      <c r="E320" s="12" t="inlineStr">
        <is>
          <t>MPa</t>
        </is>
      </c>
      <c r="F320" s="15" t="inlineStr">
        <is>
          <t>the mechanism that gives the most</t>
        </is>
      </c>
      <c r="G320" s="16" t="n"/>
    </row>
    <row r="321">
      <c r="B321" s="12" t="inlineStr">
        <is>
          <t>Maximum tie spacing</t>
        </is>
      </c>
      <c r="C321" s="13" t="inlineStr">
        <is>
          <t>s,max</t>
        </is>
      </c>
      <c r="D321" s="28">
        <f>IF($C$123="Yes",MIN(600,4*$D$51),0)</f>
        <v>600</v>
      </c>
      <c r="E321" s="12" t="inlineStr">
        <is>
          <t>mm</t>
        </is>
      </c>
      <c r="F321" s="15" t="inlineStr">
        <is>
          <t>600 mm or 4 x overlay thickness   ACI 318-25M 16.4.7.2</t>
        </is>
      </c>
      <c r="G321" s="16" t="n"/>
    </row>
    <row r="322">
      <c r="B322" s="12" t="inlineStr">
        <is>
          <t>Tie spacing</t>
        </is>
      </c>
      <c r="C322" s="13" t="inlineStr">
        <is>
          <t>s / s,max</t>
        </is>
      </c>
      <c r="D322" s="23">
        <f>IF(AND($C$311="Yes",$D$321&gt;0),$D$70/$D$321,0)</f>
        <v>0.5</v>
      </c>
      <c r="E322" s="12" t="inlineStr"/>
      <c r="F322" s="15" t="inlineStr"/>
      <c r="G322" s="16" t="str">
        <f>IF($C$311="No","N/A",IF($D$70&lt;=$D$321,"PASS","FAIL"))</f>
        <v>PASS</v>
      </c>
    </row>
    <row r="323">
      <c r="B323" s="11" t="inlineStr">
        <is>
          <t>L direction - contact width B0</t>
        </is>
      </c>
    </row>
    <row r="324">
      <c r="B324" s="33" t="inlineStr">
        <is>
          <t>Factored shear at the column face</t>
        </is>
      </c>
      <c r="C324" s="13" t="inlineStr">
        <is>
          <t>Vu</t>
        </is>
      </c>
      <c r="D324" s="35">
        <f>IF($C$123="Yes",$D$128*$D$156/$D$34+$D$134*$D$157/$D$104*$D$33/$D$103+ABS(6*$D$129*$D$156*($D$34/2+$D$45/2)/$D$34^3+6*$D$135*$D$157*($D$104/2+$D$45/2)/$D$104^3*$D$33/$D$103)*1000,0)</f>
        <v>728.4021703919663</v>
      </c>
      <c r="E324" s="12" t="inlineStr">
        <is>
          <t>kN</t>
        </is>
      </c>
      <c r="F324" s="15" t="inlineStr">
        <is>
          <t>locked-in shear + the old width's share of the increment</t>
        </is>
      </c>
      <c r="G324" s="16" t="n"/>
    </row>
    <row r="325">
      <c r="B325" s="33" t="inlineStr">
        <is>
          <t>Design horizontal shear strength</t>
        </is>
      </c>
      <c r="C325" s="13" t="inlineStr">
        <is>
          <t>phi Vnh</t>
        </is>
      </c>
      <c r="D325" s="35">
        <f>0.75*$D$320*$D$33*$D$163/1000</f>
        <v>2266.088068849115</v>
      </c>
      <c r="E325" s="12" t="inlineStr">
        <is>
          <t>kN</t>
        </is>
      </c>
      <c r="F325" s="15" t="inlineStr">
        <is>
          <t>phi vnh bv d   ACI 318-25M Eq. (16.4.3.1)</t>
        </is>
      </c>
      <c r="G325" s="16" t="n"/>
    </row>
    <row r="326">
      <c r="B326" s="12" t="inlineStr">
        <is>
          <t>Utilisation</t>
        </is>
      </c>
      <c r="C326" s="13" t="inlineStr">
        <is>
          <t>Vu / phi Vnh</t>
        </is>
      </c>
      <c r="D326" s="23">
        <f>IF(AND($C$123="Yes",$D$325&gt;0),$D$324/$D$325,0)</f>
        <v>0.3214359496459915</v>
      </c>
      <c r="E326" s="12" t="inlineStr"/>
      <c r="F326" s="15" t="inlineStr"/>
      <c r="G326" s="16" t="str">
        <f>IF($C$123="No","N/A",IF($D$324&lt;=$D$325,"PASS","FAIL"))</f>
        <v>PASS</v>
      </c>
    </row>
    <row r="327">
      <c r="B327" s="11" t="inlineStr">
        <is>
          <t>B direction - contact width L0</t>
        </is>
      </c>
    </row>
    <row r="328">
      <c r="B328" s="33" t="inlineStr">
        <is>
          <t>Factored shear at the column face</t>
        </is>
      </c>
      <c r="C328" s="13" t="inlineStr">
        <is>
          <t>Vu</t>
        </is>
      </c>
      <c r="D328" s="35">
        <f>IF($C$123="Yes",$D$128*$D$174/$D$33+$D$134*$D$175/$D$103*$D$34/$D$104+ABS(6*$D$130*$D$174*($D$33/2+$D$44/2)/$D$33^3+6*$D$136*$D$175*($D$103/2+$D$44/2)/$D$103^3*$D$34/$D$104)*1000,0)</f>
        <v>715.9130859375</v>
      </c>
      <c r="E328" s="12" t="inlineStr">
        <is>
          <t>kN</t>
        </is>
      </c>
      <c r="F328" s="15" t="inlineStr">
        <is>
          <t>locked-in shear + the old width's share of the increment</t>
        </is>
      </c>
      <c r="G328" s="16" t="n"/>
    </row>
    <row r="329">
      <c r="B329" s="33" t="inlineStr">
        <is>
          <t>Design horizontal shear strength</t>
        </is>
      </c>
      <c r="C329" s="13" t="inlineStr">
        <is>
          <t>phi Vnh</t>
        </is>
      </c>
      <c r="D329" s="35">
        <f>0.75*$D$320*$D$34*$D$181/1000</f>
        <v>3304.0514850002833</v>
      </c>
      <c r="E329" s="12" t="inlineStr">
        <is>
          <t>kN</t>
        </is>
      </c>
      <c r="F329" s="15" t="inlineStr">
        <is>
          <t>phi vnh bv d   ACI 318-25M Eq. (16.4.3.1)</t>
        </is>
      </c>
      <c r="G329" s="16" t="n"/>
    </row>
    <row r="330">
      <c r="B330" s="12" t="inlineStr">
        <is>
          <t>Utilisation</t>
        </is>
      </c>
      <c r="C330" s="13" t="inlineStr">
        <is>
          <t>Vu / phi Vnh</t>
        </is>
      </c>
      <c r="D330" s="23">
        <f>IF(AND($C$123="Yes",$D$329&gt;0),$D$328/$D$329,0)</f>
        <v>0.21667733968057057</v>
      </c>
      <c r="E330" s="12" t="inlineStr"/>
      <c r="F330" s="15" t="inlineStr"/>
      <c r="G330" s="16" t="str">
        <f>IF($C$123="No","N/A",IF($D$328&lt;=$D$329,"PASS","FAIL"))</f>
        <v>PASS</v>
      </c>
    </row>
    <row r="331" ht="26" customHeight="1">
      <c r="B331" s="22" t="inlineStr">
        <is>
          <t>Vu is taken at the column face, the greatest along the contact surface (ACI 318-25M 16.4.2.1, 16.4.3.1): all of the locked-in shear and the old width's share of the increment. Where there are wings, the soil pressure on them can lift an overlay cast with them, so nothing is credited without the minimum ties (16.4.1.2).</t>
        </is>
      </c>
    </row>
    <row r="332"/>
    <row r="333" ht="18" customHeight="1">
      <c r="B333" s="10" t="inlineStr">
        <is>
          <t>10.0  NOT COVERED BY THIS SHEET - CHECK SEPARATELY</t>
        </is>
      </c>
    </row>
    <row r="334" ht="52" customHeight="1">
      <c r="B334" s="22" t="inlineStr">
        <is>
          <t>- Anchorage of the post-installed dowels and overlay ties in the existing footing: as adhesive anchors (ACI 318-25M Chapter 17), or as post-installed reinforcing bars developed to 25.4.2 and 25.4.9 (17.1.3) with the bar-group breakout of 25.4.11. Shear friction needs fy developed on both sides of the plane (22.9.5.1), overlay ties likewise (16.4.7.3). ACI 562-25 9.4.4.5 and 9.4.3.4 cap the force credited to post-installed reinforcement at that anchorage value; 9.4.4.6 and 9.4.3.5 do the same on the new-concrete side.</t>
        </is>
      </c>
    </row>
    <row r="335" ht="26" customHeight="1">
      <c r="B335" s="22" t="inlineStr">
        <is>
          <t>- Development of the existing bottom bars beyond the column-face critical section (ACI 318-25M 13.2.8). They stop at the old footing edge, and the jacket raises the force they must develop.</t>
        </is>
      </c>
    </row>
    <row r="336" ht="13" customHeight="1">
      <c r="B336" s="22" t="inlineStr">
        <is>
          <t>- Force transfer at the column base: bearing and dowels (ACI 318-25M 16.3 and 22.8).</t>
        </is>
      </c>
    </row>
    <row r="337" ht="26" customHeight="1">
      <c r="B337" s="22" t="inlineStr">
        <is>
          <t>- Partial contact. The pressure model is linear with the whole base in compression; a case that lifts off is reported as a failed contact check, not solved.</t>
        </is>
      </c>
    </row>
    <row r="338" ht="26" customHeight="1">
      <c r="B338" s="22" t="inlineStr">
        <is>
          <t>- Sliding, overturning, settlement and the softer response of the soil under the new wings, which has not been preloaded like the soil under the old footprint. The permissible bearing pressure is an input (ACI 318-25M 13.3.1.1).</t>
        </is>
      </c>
    </row>
    <row r="339" ht="39" customHeight="1">
      <c r="B339" s="22" t="inlineStr">
        <is>
          <t>- Where the bars actually are. The minimum of ACI 318-25M Eq. (8.6.1.2) is checked with the existing bars spread evenly over the old footing and the new bars evenly over the wings; the band of 13.3.3.3, the flexural transfer of the column moment within b_slab (8.5.1.1(b)), bar spacing and crack control are not checked.</t>
        </is>
      </c>
    </row>
    <row r="340" ht="13" customHeight="1">
      <c r="B340" s="22" t="inlineStr">
        <is>
          <t>- Seismic requirements for foundations (ACI 318-25M 18.13) and capacity-design demands from the column above.</t>
        </is>
      </c>
    </row>
    <row r="341" ht="13" customHeight="1">
      <c r="B341" s="22" t="inlineStr">
        <is>
          <t>- Bond testing of the prepared surfaces (ACI 562-25 13.4.5), which Tables 9.4.4.1a and 9.4.4.1b call for.</t>
        </is>
      </c>
    </row>
    <row r="342" ht="26" customHeight="1">
      <c r="B342" s="22" t="inlineStr">
        <is>
          <t>- The existing footing during construction: excavation beside it and any loss of bearing or confinement while the jacket is built (ACI 562-25 9.2.1, 9.2.3).</t>
        </is>
      </c>
    </row>
    <row r="343"/>
    <row r="344" ht="18" customHeight="1">
      <c r="B344" s="10" t="inlineStr">
        <is>
          <t>REFERENCES</t>
        </is>
      </c>
    </row>
    <row r="345" ht="52" customHeight="1">
      <c r="B345" s="43" t="inlineStr">
        <is>
          <t>[1]  ACI Committee 562, ACI 562-25, Assessment, Repair, and Rehabilitation of Existing Concrete Structures - Code and Commentary, American Concrete Institute, 2025 - 5.3.2 with Table 5.3.2 (strength reduction factors), 9.2 (9.2.1 and R9.2.1 in-place forces, 9.2.3), 9.3.3 (force transfer at interfaces), 9.4 (R9.4.1 load history; 9.4.3.2, 9.4.3.4 and 9.4.3.5 interface tension; 9.4.4 interface shear with 9.4.4.3 roughened substrate, 9.4.4.5, 9.4.4.6 and Tables 9.4.4.1a/b; 9.4.5 combined stresses with 9.4.5.2 and R9.4.5.3), 13.4.5 (bond testing).</t>
        </is>
      </c>
    </row>
    <row r="346" ht="91" customHeight="1">
      <c r="B346" s="43" t="inlineStr">
        <is>
          <t>[2]  ACI Committee 318, ACI 318-25M, Building Code Requirements for Structural Concrete and Commentary (SI), American Concrete Institute, 2025 - 7.4.3.2 (shear at the face of support), 7.6.1.1 and 8.6.1.1 (minimum flexural reinforcement), Eq. 8.6.1.2 with 8.4.2.2.3 (minimum reinforcement at the column), Eq. 8.4.2.2.2 and 8.4.4.2 with R8.4.4.2.3 (moment transfer in two-way shear), 8.5.1.1, Chapter 13 (13.2.6.2, Table 13.2.7.1, 13.2.7.2, 13.2.8, 13.3.1.1, 13.3.1.2, 13.3.3.3), 16.3 (connections to foundations), 16.4 (16.4.1.2, 16.4.2.1, Eq. 16.4.3.1, Table 16.4.4.1, 16.4.6.1, 16.4.7.2, 16.4.7.3), Chapter 17 with 17.1.3 (anchoring - checked separately), 18.13, Table 20.2.2.4(a) (fy limits), Table 22.2.2.4.3, 22.3.3 (composite Mn), 22.5.3.1, 22.5.4 (composite Vn), Eq. 22.5.5.1.3 (size effect), 22.6 (22.6.2.1, 22.6.3.1, 22.6.4.1, Table 22.6.5.2, 22.6.5.3), 22.8 (bearing), 22.9.4 (Eq. 22.9.4.2, Table 22.9.4.2, Table 22.9.4.4, R22.9.4.5), 22.9.5.1, 25.4.2, 25.4.9 and 25.4.11 (development and bar-group anchorage - checked separately), 26.5.6.2(e).</t>
        </is>
      </c>
    </row>
    <row r="347" ht="39" customHeight="1">
      <c r="B347" s="43" t="inlineStr">
        <is>
          <t>[3]  ASCE/SEI 41-17, Seismic Evaluation and Retrofit of Existing Buildings, American Society of Civil Engineers, 2017 - C8.7, shallow foundation retrofit, item 2: consideration of the existing contact pressures may be required unless uniform distribution is achieved by shoring or jacking (commentary; this sheet always considers them).</t>
        </is>
      </c>
    </row>
    <row r="348" ht="13" customHeight="1">
      <c r="B348" s="43" t="inlineStr">
        <is>
          <t>[4]  Antoniou, S., Seismic Retrofit of Existing Reinforced Concrete Buildings, John Wiley &amp; Sons, 2023 - Section 4.18 (foundation strengthening), background only.</t>
        </is>
      </c>
    </row>
    <row r="349"/>
    <row r="350" ht="26" customHeight="1">
      <c r="B350" s="22" t="inlineStr">
        <is>
          <t>(c) Albert Pamonag Engineering Consultancy. Owner: Albert Pamonag. This calculation sheet is protected; the engineer of record remains responsible for the inputs and for the checks listed as not covered.</t>
        </is>
      </c>
    </row>
  </sheetData>
  <sheetProtection selectLockedCells="0" selectUnlockedCells="0" algorithmName="SHA-512" sheet="1" objects="1" insertRows="1" insertHyperlinks="1" autoFilter="1" scenarios="1" formatColumns="1" deleteColumns="1" insertColumns="1" pivotTables="1" deleteRows="1" formatCells="1" saltValue="il+Y0OEyTvSjwVw8+OWLpg==" formatRows="1" sort="1" spinCount="100000" hashValue="XPzHeQT21pl2XNk9vOKhzlIOrQHhkWcT9vk04gwm49ZW4CvP+gW0924qd29Ae3Vxz5YczwA2wIFWc7bynRhkCQ=="/>
  <mergeCells count="78">
    <mergeCell ref="C274:E274"/>
    <mergeCell ref="B8:G8"/>
    <mergeCell ref="B88:G88"/>
    <mergeCell ref="B308:G308"/>
    <mergeCell ref="C123:E123"/>
    <mergeCell ref="B310:G310"/>
    <mergeCell ref="B344:G344"/>
    <mergeCell ref="B251:G251"/>
    <mergeCell ref="B334:G334"/>
    <mergeCell ref="B203:G203"/>
    <mergeCell ref="B173:G173"/>
    <mergeCell ref="B100:G100"/>
    <mergeCell ref="B336:G336"/>
    <mergeCell ref="B345:G345"/>
    <mergeCell ref="B102:G102"/>
    <mergeCell ref="B12:G12"/>
    <mergeCell ref="B86:G86"/>
    <mergeCell ref="B152:G152"/>
    <mergeCell ref="B297:G297"/>
    <mergeCell ref="B235:G235"/>
    <mergeCell ref="C311:E311"/>
    <mergeCell ref="E5:F5"/>
    <mergeCell ref="B249:G249"/>
    <mergeCell ref="E4:F4"/>
    <mergeCell ref="B211:G211"/>
    <mergeCell ref="B192:G192"/>
    <mergeCell ref="B335:G335"/>
    <mergeCell ref="B340:G340"/>
    <mergeCell ref="B154:G154"/>
    <mergeCell ref="C267:E267"/>
    <mergeCell ref="B99:F99"/>
    <mergeCell ref="B327:G327"/>
    <mergeCell ref="C260:E260"/>
    <mergeCell ref="B155:G155"/>
    <mergeCell ref="C315:E315"/>
    <mergeCell ref="B195:G195"/>
    <mergeCell ref="B337:G337"/>
    <mergeCell ref="E2:G2"/>
    <mergeCell ref="B339:G339"/>
    <mergeCell ref="B348:G348"/>
    <mergeCell ref="B127:G127"/>
    <mergeCell ref="D1:G1"/>
    <mergeCell ref="B338:G338"/>
    <mergeCell ref="C122:E122"/>
    <mergeCell ref="B266:G266"/>
    <mergeCell ref="B331:G331"/>
    <mergeCell ref="B32:G32"/>
    <mergeCell ref="B7:G7"/>
    <mergeCell ref="B72:G72"/>
    <mergeCell ref="B194:G194"/>
    <mergeCell ref="B252:G252"/>
    <mergeCell ref="B236:G236"/>
    <mergeCell ref="B43:G43"/>
    <mergeCell ref="C184:E184"/>
    <mergeCell ref="B307:G307"/>
    <mergeCell ref="B341:G341"/>
    <mergeCell ref="B347:G347"/>
    <mergeCell ref="B350:G350"/>
    <mergeCell ref="B60:G60"/>
    <mergeCell ref="C124:E124"/>
    <mergeCell ref="B287:G287"/>
    <mergeCell ref="B333:G333"/>
    <mergeCell ref="B342:G342"/>
    <mergeCell ref="C316:E316"/>
    <mergeCell ref="C253:E253"/>
    <mergeCell ref="B6:G6"/>
    <mergeCell ref="B85:G85"/>
    <mergeCell ref="B213:G213"/>
    <mergeCell ref="B1:C5"/>
    <mergeCell ref="E3:G3"/>
    <mergeCell ref="B280:G280"/>
    <mergeCell ref="C239:E239"/>
    <mergeCell ref="C166:E166"/>
    <mergeCell ref="B125:G125"/>
    <mergeCell ref="B282:G282"/>
    <mergeCell ref="B323:G323"/>
    <mergeCell ref="B48:G48"/>
    <mergeCell ref="B346:G346"/>
  </mergeCells>
  <conditionalFormatting sqref="G11:G349">
    <cfRule type="cellIs" priority="1" operator="equal" dxfId="0">
      <formula>"PASS"</formula>
    </cfRule>
    <cfRule type="cellIs" priority="2" operator="equal" dxfId="0">
      <formula>"OK"</formula>
    </cfRule>
    <cfRule type="cellIs" priority="3" operator="equal" dxfId="1">
      <formula>"FAIL"</formula>
    </cfRule>
    <cfRule type="cellIs" priority="4" operator="equal" dxfId="1">
      <formula>"INVALID INPUT"</formula>
    </cfRule>
    <cfRule type="cellIs" priority="5" operator="equal" dxfId="1">
      <formula>"NO ROOT"</formula>
    </cfRule>
    <cfRule type="cellIs" priority="6" operator="equal" dxfId="2">
      <formula>"WARN"</formula>
    </cfRule>
    <cfRule type="cellIs" priority="7" operator="equal" dxfId="2">
      <formula>"CHECK"</formula>
    </cfRule>
    <cfRule type="cellIs" priority="8" operator="equal" dxfId="2">
      <formula>"OVERRIDE"</formula>
    </cfRule>
    <cfRule type="cellIs" priority="9" operator="equal" dxfId="2">
      <formula>"NOT CHECKED"</formula>
    </cfRule>
    <cfRule type="cellIs" priority="10" operator="equal" dxfId="2">
      <formula>"CAPPED"</formula>
    </cfRule>
    <cfRule type="cellIs" priority="11" operator="equal" dxfId="2">
      <formula>"REDUCED"</formula>
    </cfRule>
  </conditionalFormatting>
  <dataValidations count="14">
    <dataValidation sqref="E4" showDropDown="0" showInputMessage="0" showErrorMessage="1" allowBlank="1" errorTitle="Engineer" error="That name is not on the list of engineers. Keep it?" type="list" errorStyle="warning">
      <formula1>"Cheasmin Mauve Abesamis,Joyce Christine Manlinao,Jose Brian Agsalud,Darla Acosta,Albert Pamonag,Miguel Angelo Tiu,Ferlyn Mae Sanao"</formula1>
    </dataValidation>
    <dataValidation sqref="E5" showDropDown="0" showInputMessage="0" showErrorMessage="1" allowBlank="1" errorTitle="Engineer" error="That name is not on the list of engineers. Keep it?" type="list" errorStyle="warning">
      <formula1>"Cheasmin Mauve Abesamis,Joyce Christine Manlinao,Jose Brian Agsalud,Darla Acosta,Albert Pamonag,Miguel Angelo Tiu,Ferlyn Mae Sanao"</formula1>
    </dataValidation>
    <dataValidation sqref="D38" showDropDown="0" showInputMessage="0" showErrorMessage="1" allowBlank="0" errorTitle="Invalid input" error="Enter a whole number of at least 0." type="whole" operator="greaterThanOrEqual">
      <formula1>0</formula1>
    </dataValidation>
    <dataValidation sqref="D40" showDropDown="0" showInputMessage="0" showErrorMessage="1" allowBlank="0" errorTitle="Invalid input" error="Enter a whole number of at least 0." type="whole" operator="greaterThanOrEqual">
      <formula1>0</formula1>
    </dataValidation>
    <dataValidation sqref="D46" showDropDown="0" showInputMessage="0" showErrorMessage="1" allowBlank="0" errorTitle="Invalid input" error="Choose a value from the list." type="list">
      <formula1>"40,30,20"</formula1>
    </dataValidation>
    <dataValidation sqref="D47" showDropDown="0" showInputMessage="0" showErrorMessage="1" allowBlank="0" errorTitle="Invalid input" error="Choose a value from the list." type="list">
      <formula1>"No,Yes"</formula1>
    </dataValidation>
    <dataValidation sqref="D54" showDropDown="0" showInputMessage="0" showErrorMessage="1" allowBlank="0" errorTitle="Invalid input" error="Enter a whole number of at least 0." type="whole" operator="greaterThanOrEqual">
      <formula1>0</formula1>
    </dataValidation>
    <dataValidation sqref="D56" showDropDown="0" showInputMessage="0" showErrorMessage="1" allowBlank="0" errorTitle="Invalid input" error="Enter a whole number of at least 0." type="whole" operator="greaterThanOrEqual">
      <formula1>0</formula1>
    </dataValidation>
    <dataValidation sqref="D61" showDropDown="0" showInputMessage="0" showErrorMessage="1" allowBlank="0" errorTitle="Invalid input" error="Choose a value from the list." type="list">
      <formula1>"roughened,not_roughened"</formula1>
    </dataValidation>
    <dataValidation sqref="D62" showDropDown="0" showInputMessage="0" showErrorMessage="1" allowBlank="0" errorTitle="Invalid input" error="Enter a whole number of at least 0." type="whole" operator="greaterThanOrEqual">
      <formula1>0</formula1>
    </dataValidation>
    <dataValidation sqref="D63" showDropDown="0" showInputMessage="0" showErrorMessage="1" allowBlank="0" errorTitle="Invalid input" error="Enter a whole number of at least 0." type="whole" operator="greaterThanOrEqual">
      <formula1>0</formula1>
    </dataValidation>
    <dataValidation sqref="D64" showDropDown="0" showInputMessage="0" showErrorMessage="1" allowBlank="0" errorTitle="Invalid input" error="Enter a whole number of at least 0." type="whole" operator="greaterThanOrEqual">
      <formula1>0</formula1>
    </dataValidation>
    <dataValidation sqref="D65" showDropDown="0" showInputMessage="0" showErrorMessage="1" allowBlank="0" errorTitle="Invalid input" error="Enter a whole number of at least 0." type="whole" operator="greaterThanOrEqual">
      <formula1>0</formula1>
    </dataValidation>
    <dataValidation sqref="D73" showDropDown="0" showInputMessage="0" showErrorMessage="1" allowBlank="0" errorTitle="Invalid input" error="Choose a value from the list." type="list">
      <formula1>"No,Yes"</formula1>
    </dataValidation>
  </dataValidations>
  <printOptions horizontalCentered="1"/>
  <pageMargins left="0.5" right="0.5" top="0.6" bottom="0.7" header="0.5" footer="0.5"/>
  <pageSetup orientation="portrait" paperSize="9" fitToHeight="0" fitToWidth="1"/>
  <headerFooter>
    <oddHeader/>
    <oddFooter>&amp;L&amp;8 (c) Albert Pamonag Engineering Consultancy - Owner: Albert Pamonag&amp;C&amp;8 &amp;A&amp;R&amp;8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G132"/>
  <sheetViews>
    <sheetView showGridLines="0" workbookViewId="0">
      <selection activeCell="A1" sqref="A1"/>
    </sheetView>
  </sheetViews>
  <sheetFormatPr baseColWidth="8" defaultRowHeight="15"/>
  <cols>
    <col width="2" customWidth="1" min="1" max="1"/>
    <col width="46" customWidth="1" min="2" max="2"/>
    <col width="15" customWidth="1" min="3" max="3"/>
    <col width="16" customWidth="1" min="4" max="4"/>
    <col width="9" customWidth="1" min="5" max="5"/>
    <col width="62" customWidth="1" min="6" max="6"/>
    <col width="15" customWidth="1" min="7" max="7"/>
  </cols>
  <sheetData>
    <row r="1" ht="18" customHeight="1">
      <c r="B1" s="1" t="n"/>
      <c r="C1" s="1" t="n"/>
      <c r="D1" s="2" t="inlineStr">
        <is>
          <t>D E S I G N    S H E E T</t>
        </is>
      </c>
      <c r="E1" s="1" t="n"/>
      <c r="F1" s="1" t="n"/>
      <c r="G1" s="1" t="n"/>
    </row>
    <row r="2" ht="18" customHeight="1">
      <c r="B2" s="1" t="n"/>
      <c r="C2" s="1" t="n"/>
      <c r="D2" s="3" t="inlineStr">
        <is>
          <t>Project :</t>
        </is>
      </c>
      <c r="E2" s="44" t="str">
        <f>IF('Footing Jacket'!$E$2="","",'Footing Jacket'!$E$2)</f>
        <v>Project name</v>
      </c>
      <c r="F2" s="1" t="n"/>
      <c r="G2" s="1" t="n"/>
    </row>
    <row r="3" ht="18" customHeight="1">
      <c r="B3" s="1" t="n"/>
      <c r="C3" s="1" t="n"/>
      <c r="D3" s="3" t="inlineStr">
        <is>
          <t>Member :</t>
        </is>
      </c>
      <c r="E3" s="44" t="str">
        <f>IF('Footing Jacket'!$E$3="","",'Footing Jacket'!$E$3)</f>
        <v>F-1 - Grid A-1</v>
      </c>
      <c r="F3" s="1" t="n"/>
      <c r="G3" s="1" t="n"/>
    </row>
    <row r="4" ht="18" customHeight="1">
      <c r="B4" s="1" t="n"/>
      <c r="C4" s="1" t="n"/>
      <c r="D4" s="3" t="inlineStr">
        <is>
          <t>Designed / Date :</t>
        </is>
      </c>
      <c r="E4" s="44" t="str">
        <f>IF('Footing Jacket'!$E$4="","",'Footing Jacket'!$E$4)</f>
        <v>Albert Pamonag</v>
      </c>
      <c r="F4" s="1" t="n"/>
      <c r="G4" s="45">
        <f>IF('Footing Jacket'!$G$4="","",'Footing Jacket'!$G$4)</f>
        <v>46299</v>
      </c>
    </row>
    <row r="5" ht="18" customHeight="1">
      <c r="B5" s="1" t="n"/>
      <c r="C5" s="1" t="n"/>
      <c r="D5" s="3" t="inlineStr">
        <is>
          <t>Checked / Date :</t>
        </is>
      </c>
      <c r="E5" s="44" t="str">
        <f>IF('Footing Jacket'!$E$5="","",'Footing Jacket'!$E$5)</f>
        <v/>
      </c>
      <c r="F5" s="1" t="n"/>
      <c r="G5" s="45" t="str">
        <f>IF('Footing Jacket'!$G$5="","",'Footing Jacket'!$G$5)</f>
        <v/>
      </c>
    </row>
    <row r="6" ht="20" customHeight="1">
      <c r="B6" s="7" t="inlineStr">
        <is>
          <t>THEORETICAL REFERENCE - FOOTING JACKET</t>
        </is>
      </c>
    </row>
    <row r="7">
      <c r="B7" s="8" t="inlineStr">
        <is>
          <t>ACI 562-25; ACI 318-25M; ASCE 41-17 - clause and printed page under each card</t>
        </is>
      </c>
    </row>
    <row r="8">
      <c r="B8" s="8" t="inlineStr">
        <is>
          <t>Reference sheet - no inputs. Every cell and picture is locked. Owner: Albert Pamonag - Albert Pamonag Engineering Consultancy.</t>
        </is>
      </c>
    </row>
    <row r="9"/>
    <row r="10">
      <c r="B10" s="9" t="inlineStr">
        <is>
          <t>Equations and provisions behind the calculation sheet</t>
        </is>
      </c>
      <c r="C10" s="9" t="n"/>
      <c r="D10" s="9" t="n"/>
      <c r="E10" s="9" t="n"/>
      <c r="F10" s="9" t="n"/>
      <c r="G10" s="9" t="n"/>
    </row>
    <row r="11" ht="26" customHeight="1">
      <c r="B11" s="22" t="inlineStr">
        <is>
          <t>Each card sets out, in this sheet's own notation, the equations a section of the calculation sheet uses; the line under it gives the clause and the printed page where the provision is found. The cards are typeset for this workbook - they are not copies of the standards, which remain the authority.</t>
        </is>
      </c>
    </row>
    <row r="12"/>
    <row r="13" ht="18" customHeight="1">
      <c r="B13" s="10" t="inlineStr">
        <is>
          <t>A.  LOAD HISTORY AND BEARING PRESSURE</t>
        </is>
      </c>
    </row>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3" customHeight="1">
      <c r="B28" s="22" t="inlineStr">
        <is>
          <t>Basis: ACI 562-25 R9.4.1 (p. 85) and R9.2.1 (p. 84); ASCE 41-17 C8.7 item 2 (p. 455); ACI 318-25M 13.3.1.1 (p. 211).</t>
        </is>
      </c>
    </row>
    <row r="29"/>
    <row r="30" ht="18" customHeight="1">
      <c r="B30" s="10" t="inlineStr">
        <is>
          <t>B.  PRESSURE BEYOND A SECTION</t>
        </is>
      </c>
    </row>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3" customHeight="1">
      <c r="B44" s="22" t="inlineStr">
        <is>
          <t>Basis: Statics. Critical sections: ACI 318-25M Table 13.2.7.1 and 13.2.7.2 (p. 210), 7.4.3.2 (p. 101).</t>
        </is>
      </c>
    </row>
    <row r="45"/>
    <row r="46" ht="18" customHeight="1">
      <c r="B46" s="10" t="inlineStr">
        <is>
          <t>C.  FLEXURE OF THE COMPOSITE SECTION</t>
        </is>
      </c>
    </row>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26" customHeight="1">
      <c r="B59" s="22" t="inlineStr">
        <is>
          <t>Basis: ACI 318-25M 22.3.3.2 to 22.3.3.4 (p. 440), Table 22.2.2.4.3 (p. 439), 7.6.1.1 (p. 102), 8.6.1.1 (p. 122), 13.3.1.2 (p. 212); ACI 562-25 Table 5.3.2 (p. 38).</t>
        </is>
      </c>
    </row>
    <row r="60"/>
    <row r="61" ht="18" customHeight="1">
      <c r="B61" s="10" t="inlineStr">
        <is>
          <t>D.  ONE-WAY SHEAR</t>
        </is>
      </c>
    </row>
    <row r="62" ht="15" customHeight="1"/>
    <row r="63" ht="15" customHeight="1"/>
    <row r="64" ht="15" customHeight="1"/>
    <row r="65" ht="15" customHeight="1"/>
    <row r="66" ht="15" customHeight="1"/>
    <row r="67" ht="15" customHeight="1"/>
    <row r="68" ht="15" customHeight="1"/>
    <row r="69" ht="15" customHeight="1"/>
    <row r="70" ht="13" customHeight="1">
      <c r="B70" s="22" t="inlineStr">
        <is>
          <t>Basis: ACI 318-25M 13.2.6.2(a) (p. 208), 22.5.3.1 (p. 443), 22.5.4.2 to 22.5.4.4 (p. 444); ACI 562-25 Table 5.3.2 (p. 38).</t>
        </is>
      </c>
    </row>
    <row r="71"/>
    <row r="72" ht="18" customHeight="1">
      <c r="B72" s="10" t="inlineStr">
        <is>
          <t>E.  TWO-WAY SHEAR WITH MOMENT TRANSFER</t>
        </is>
      </c>
    </row>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26" customHeight="1">
      <c r="B86" s="22" t="inlineStr">
        <is>
          <t>Basis: ACI 318-25M 22.6.4.1 (p. 451), Table 22.6.5.2 (p. 454), 22.6.5.3 (p. 455), 13.2.6.2(b) (p. 208), Eq. 8.4.2.2.2 (p. 116), 8.4.4.2 and R8.4.4.2.3 (p. 118-119).</t>
        </is>
      </c>
    </row>
    <row r="87"/>
    <row r="88" ht="18" customHeight="1">
      <c r="B88" s="10" t="inlineStr">
        <is>
          <t>F.  MINIMUM REINFORCEMENT AT THE COLUMN</t>
        </is>
      </c>
    </row>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3" customHeight="1">
      <c r="B99" s="22" t="inlineStr">
        <is>
          <t>Basis: ACI 318-25M Eq. 8.6.1.2 (p. 122), 8.4.2.2.3 (p. 116-117), Eq. 22.5.5.1.3 (p. 445).</t>
        </is>
      </c>
    </row>
    <row r="100"/>
    <row r="101" ht="18" customHeight="1">
      <c r="B101" s="10" t="inlineStr">
        <is>
          <t>G.  SHEAR FRICTION ON THE OLD FACES</t>
        </is>
      </c>
    </row>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26" customHeight="1">
      <c r="B115" s="22" t="inlineStr">
        <is>
          <t>Basis: ACI 318-25M Eq. 22.9.4.2 and Table 22.9.4.2 (p. 472), Table 22.9.4.4 (p. 474), Table 20.2.2.4(a) (p. 414), 22.3.3.1 (p. 440); ACI 562-25 9.4.4.3 (p. 89), R9.4.5.3 (p. 90), Table 5.3.2 (p. 38).</t>
        </is>
      </c>
    </row>
    <row r="116"/>
    <row r="117" ht="18" customHeight="1">
      <c r="B117" s="10" t="inlineStr">
        <is>
          <t>H.  HORIZONTAL SHEAR UNDER THE OVERLAY</t>
        </is>
      </c>
    </row>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3" customHeight="1">
      <c r="B130" s="22" t="inlineStr">
        <is>
          <t>Basis: ACI 318-25M 16.4.1.2 and Eq. 16.4.3.1 (p. 243), Table 16.4.4.1 (p. 244), 16.4.6.1 and 16.4.7.2 (p. 246).</t>
        </is>
      </c>
    </row>
    <row r="131"/>
    <row r="132" ht="26" customHeight="1">
      <c r="B132" s="22" t="inlineStr">
        <is>
          <t>(c) Albert Pamonag Engineering Consultancy. Owner: Albert Pamonag. This calculation sheet is protected; the engineer of record remains responsible for the inputs and for the checks listed as not covered.</t>
        </is>
      </c>
    </row>
  </sheetData>
  <sheetProtection selectLockedCells="0" selectUnlockedCells="0" algorithmName="SHA-512" sheet="1" objects="1" insertRows="1" insertHyperlinks="1" autoFilter="1" scenarios="1" formatColumns="1" deleteColumns="1" insertColumns="1" pivotTables="1" deleteRows="1" formatCells="1" saltValue="il+Y0OEyTvSjwVw8+OWLpg==" formatRows="1" sort="1" spinCount="100000" hashValue="XPzHeQT21pl2XNk9vOKhzlIOrQHhkWcT9vk04gwm49ZW4CvP+gW0924qd29Ae3Vxz5YczwA2wIFWc7bynRhkCQ=="/>
  <mergeCells count="28">
    <mergeCell ref="B117:G117"/>
    <mergeCell ref="B101:G101"/>
    <mergeCell ref="B61:G61"/>
    <mergeCell ref="B132:G132"/>
    <mergeCell ref="B8:G8"/>
    <mergeCell ref="E5:F5"/>
    <mergeCell ref="B13:G13"/>
    <mergeCell ref="B88:G88"/>
    <mergeCell ref="B44:G44"/>
    <mergeCell ref="E4:F4"/>
    <mergeCell ref="E2:G2"/>
    <mergeCell ref="B10:G10"/>
    <mergeCell ref="B28:G28"/>
    <mergeCell ref="B99:G99"/>
    <mergeCell ref="D1:G1"/>
    <mergeCell ref="B30:G30"/>
    <mergeCell ref="B6:G6"/>
    <mergeCell ref="B1:C5"/>
    <mergeCell ref="E3:G3"/>
    <mergeCell ref="B7:G7"/>
    <mergeCell ref="B72:G72"/>
    <mergeCell ref="B46:G46"/>
    <mergeCell ref="B59:G59"/>
    <mergeCell ref="B115:G115"/>
    <mergeCell ref="B70:G70"/>
    <mergeCell ref="B86:G86"/>
    <mergeCell ref="B130:G130"/>
    <mergeCell ref="B11:G11"/>
  </mergeCells>
  <conditionalFormatting sqref="G11:G131">
    <cfRule type="cellIs" priority="1" operator="equal" dxfId="0">
      <formula>"PASS"</formula>
    </cfRule>
    <cfRule type="cellIs" priority="2" operator="equal" dxfId="0">
      <formula>"OK"</formula>
    </cfRule>
    <cfRule type="cellIs" priority="3" operator="equal" dxfId="1">
      <formula>"FAIL"</formula>
    </cfRule>
    <cfRule type="cellIs" priority="4" operator="equal" dxfId="1">
      <formula>"INVALID INPUT"</formula>
    </cfRule>
    <cfRule type="cellIs" priority="5" operator="equal" dxfId="1">
      <formula>"NO ROOT"</formula>
    </cfRule>
    <cfRule type="cellIs" priority="6" operator="equal" dxfId="2">
      <formula>"WARN"</formula>
    </cfRule>
    <cfRule type="cellIs" priority="7" operator="equal" dxfId="2">
      <formula>"CHECK"</formula>
    </cfRule>
    <cfRule type="cellIs" priority="8" operator="equal" dxfId="2">
      <formula>"OVERRIDE"</formula>
    </cfRule>
    <cfRule type="cellIs" priority="9" operator="equal" dxfId="2">
      <formula>"NOT CHECKED"</formula>
    </cfRule>
    <cfRule type="cellIs" priority="10" operator="equal" dxfId="2">
      <formula>"CAPPED"</formula>
    </cfRule>
    <cfRule type="cellIs" priority="11" operator="equal" dxfId="2">
      <formula>"REDUCED"</formula>
    </cfRule>
  </conditionalFormatting>
  <printOptions horizontalCentered="1"/>
  <pageMargins left="0.5" right="0.5" top="0.6" bottom="0.7" header="0.5" footer="0.5"/>
  <pageSetup orientation="portrait" paperSize="9" fitToHeight="0" fitToWidth="1"/>
  <headerFooter>
    <oddHeader/>
    <oddFooter>&amp;L&amp;8 (c) Albert Pamonag Engineering Consultancy - Owner: Albert Pamonag&amp;C&amp;8 &amp;A&amp;R&amp;8 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Application>
  <Manager>Albert Pamonag</Manager>
  <Company>Albert Pamonag Engineering Consultancy</Company>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Albert Pamonag</dc:creator>
  <dc:title>APEC Footing Jacket (Footing Enlargement)</dc:title>
  <dc:description>APEC Footing Jacket (Footing Enlargement). Property of Albert Pamonag Engineering Consultancy. Owner: Albert Pamonag. Protected workbook.</dc:description>
  <dc:subject>ACI 562-25 / ACI 318-25M / ASCE 41-17</dc:subject>
  <dcterms:created xsi:type="dcterms:W3CDTF">2026-10-04T00:26:58Z</dcterms:created>
  <dcterms:modified xsi:type="dcterms:W3CDTF">2026-10-04T00:26:58Z</dcterms:modified>
  <cp:lastModifiedBy>Albert Pamonag</cp:lastModifiedBy>
  <cp:category>Structural engineering calculation</cp:category>
  <cp:keywords>APEC, CFRP, ACI 440.2R-17, strengthening</cp:keywords>
</cp:coreProperties>
</file>